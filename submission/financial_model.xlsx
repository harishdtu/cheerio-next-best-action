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Adoption funnel" sheetId="3" state="visible" r:id="rId5"/>
    <sheet name="Cost model" sheetId="4" state="visible" r:id="rId6"/>
    <sheet name="Cohort engine" sheetId="5" state="visible" r:id="rId7"/>
    <sheet name="Revenue and business case" sheetId="6" state="visible" r:id="rId8"/>
    <sheet name="Billing and audi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<sst xmlns="http://schemas.openxmlformats.org/spreadsheetml/2006/main" count="601" uniqueCount="355">
  <si>
    <t xml:space="preserve">Cheerio Next Best Action: financial model (assignment draft, v2)</t>
  </si>
  <si>
    <t xml:space="preserve">What this is: a transparent, formula-driven business-case model for a rules-based feature-discovery recommendation. It is built from labelled placeholders, NOT from Cheerio's data. Do not present its outputs as forecasts.</t>
  </si>
  <si>
    <t xml:space="preserve">Currency: INR. Units are in column B. Scenarios: Conservative (C), Base (D), Optimistic (E). Colour legend: blue = editable input; black = formula; green = link to another sheet; yellow fill = hypothesis or placeholder to review.</t>
  </si>
  <si>
    <t xml:space="preserve">Two economic views (same horizon H and same cost basis in both)</t>
  </si>
  <si>
    <t xml:space="preserve">Scenario 1, single cohort: the programme is launched once to the existing eligible base. No later cohorts are added, but the full programme cost runs for H months. This is the cost of proving the idea on today's base and is deliberately harsh.</t>
  </si>
  <si>
    <t xml:space="preserve">Scenario 2, recurring monthly rollout: the same launch cohort PLUS a new cohort of newly eligible, exposed businesses each month (inflow is an illustrative placeholder). Scenario 2 includes Scenario 1; the two are not additive.</t>
  </si>
  <si>
    <t xml:space="preserve">How retention benefit is derived (changed in v2)</t>
  </si>
  <si>
    <t xml:space="preserve">Only INCREMENTAL activators (treatment activation minus control activation) are assumed to churn less than control. Weaker activation therefore means a weaker retention effect automatically. Revenue is the plan price on the extra retained account-months, each counted once. Non-activators are assumed unaffected.</t>
  </si>
  <si>
    <t xml:space="preserve">The observable a holdout would read out is shown as an expected treatment-minus-holdout survival gap on the Revenue sheet. Adoption does not cause retention by assumption alone; the churn input is a hypothesis to be tested.</t>
  </si>
  <si>
    <t xml:space="preserve">Sheets</t>
  </si>
  <si>
    <t xml:space="preserve">Assumptions: all inputs and their type. Adoption funnel: launch cohort funnel. Cost model: fixed vs variable and launch-month unit costs. Cohort engine: monthly cohorts, retained account-months (up to 24 months). Revenue and business case: both scenarios, break-even, ROI sensitivity to worse churn and worse activation. Billing and audit: three pricing options over the same horizon and cost basis, plus monthly audit checks.</t>
  </si>
  <si>
    <t xml:space="preserve">ROI definition: operating contribution / total programme cost, where contribution = gross profit on attributable revenue minus programme cost. Gross margin and operating contribution are reported separately.</t>
  </si>
  <si>
    <t xml:space="preserve">Not modelled: cannibalisation, seasonality, support cost, cost of billing changes (unless the build-cost input is raised), discounting, taxes. Audit 'observed' values are EXAMPLE data. Token and FX prices are unverified placeholders (AI layer is off).</t>
  </si>
  <si>
    <t xml:space="preserve">Assumptions</t>
  </si>
  <si>
    <t xml:space="preserve">Edit blue cells only. Columns C/D/E = Conservative / Base / Optimistic. Where scenarios do not differ, C and E link to D.</t>
  </si>
  <si>
    <t xml:space="preserve">Assumption</t>
  </si>
  <si>
    <t xml:space="preserve">Unit</t>
  </si>
  <si>
    <t xml:space="preserve">Conservative</t>
  </si>
  <si>
    <t xml:space="preserve">Base</t>
  </si>
  <si>
    <t xml:space="preserve">Optimistic</t>
  </si>
  <si>
    <t xml:space="preserve">Type</t>
  </si>
  <si>
    <t xml:space="preserve">Note / source</t>
  </si>
  <si>
    <t xml:space="preserve">Customer base and exposure</t>
  </si>
  <si>
    <t xml:space="preserve">Active businesses</t>
  </si>
  <si>
    <t xml:space="preserve">businesses</t>
  </si>
  <si>
    <t xml:space="preserve">Supplied (assignment)</t>
  </si>
  <si>
    <t xml:space="preserve">Given in the assignment brief.</t>
  </si>
  <si>
    <t xml:space="preserve">Share of active businesses that are eligible (send campaigns, no automation yet)</t>
  </si>
  <si>
    <t xml:space="preserve">% of active</t>
  </si>
  <si>
    <t xml:space="preserve">Hypothesis</t>
  </si>
  <si>
    <t xml:space="preserve">Unknown. Must be measured from Cheerio's product events.</t>
  </si>
  <si>
    <t xml:space="preserve">Eligible businesses exposed to a recommendation in the month</t>
  </si>
  <si>
    <t xml:space="preserve">% of eligible</t>
  </si>
  <si>
    <t xml:space="preserve">Depends on login frequency. Measure.</t>
  </si>
  <si>
    <t xml:space="preserve">Recurring rollout only: newly eligible businesses per month</t>
  </si>
  <si>
    <t xml:space="preserve">% of active per month</t>
  </si>
  <si>
    <t xml:space="preserve">Illustrative placeholder; Cheerio's real inflow is unknown. Each month this share of active businesses becomes eligible and the exposure rate applies.</t>
  </si>
  <si>
    <t xml:space="preserve">Recommendation impressions per exposed business per month</t>
  </si>
  <si>
    <t xml:space="preserve">impressions</t>
  </si>
  <si>
    <t xml:space="preserve">Capped by suppression rules (max 1 shown at a time).</t>
  </si>
  <si>
    <t xml:space="preserve">Funnel conversion (stage rates)</t>
  </si>
  <si>
    <t xml:space="preserve">Click rate</t>
  </si>
  <si>
    <t xml:space="preserve">% of exposed</t>
  </si>
  <si>
    <t xml:space="preserve">Base set near the prototype's synthetic funnel, which is itself illustrative.</t>
  </si>
  <si>
    <t xml:space="preserve">Setup start rate</t>
  </si>
  <si>
    <t xml:space="preserve">% of clicks</t>
  </si>
  <si>
    <t xml:space="preserve">As above.</t>
  </si>
  <si>
    <t xml:space="preserve">Setup completion (activation) rate</t>
  </si>
  <si>
    <t xml:space="preserve">% of starts</t>
  </si>
  <si>
    <t xml:space="preserve">Activation rate in control group (no recommendation, same period)</t>
  </si>
  <si>
    <t xml:space="preserve">% of exposed-equivalent</t>
  </si>
  <si>
    <t xml:space="preserve">Organic adoption. Must come from a holdout. Conservative = higher control.</t>
  </si>
  <si>
    <t xml:space="preserve">Retention (illustrative; NOT Cheerio's real churn)</t>
  </si>
  <si>
    <t xml:space="preserve">Monthly churn, control group</t>
  </si>
  <si>
    <t xml:space="preserve">% per month</t>
  </si>
  <si>
    <t xml:space="preserve">Illustrative placeholder</t>
  </si>
  <si>
    <t xml:space="preserve">Placeholder. Replace with measured churn.</t>
  </si>
  <si>
    <t xml:space="preserve">Monthly churn of accounts that activate BECAUSE of the recommendation (incremental activators)</t>
  </si>
  <si>
    <t xml:space="preserve">Placeholder hypothesis. Compared with control churn above. Retention benefit applies ONLY to incremental activators, so weaker activation automatically means weaker retention.</t>
  </si>
  <si>
    <t xml:space="preserve">Months from exposure to activation before any retention benefit starts</t>
  </si>
  <si>
    <t xml:space="preserve">months</t>
  </si>
  <si>
    <t xml:space="preserve">Placeholder. Activation is not instant.</t>
  </si>
  <si>
    <t xml:space="preserve">Evaluation horizon</t>
  </si>
  <si>
    <t xml:space="preserve">Evaluation window used for BOTH cohort scenarios (maximum 24 in this workbook).</t>
  </si>
  <si>
    <t xml:space="preserve">Pricing and margin</t>
  </si>
  <si>
    <t xml:space="preserve">Average monthly plan price</t>
  </si>
  <si>
    <t xml:space="preserve">INR / account / month</t>
  </si>
  <si>
    <t xml:space="preserve">Placeholder. Cheerio's real average plan price is not known.</t>
  </si>
  <si>
    <t xml:space="preserve">Gross margin on plan revenue (serving cost excluded from this model otherwise)</t>
  </si>
  <si>
    <t xml:space="preserve">% of plan revenue</t>
  </si>
  <si>
    <t xml:space="preserve">Placeholder.</t>
  </si>
  <si>
    <t xml:space="preserve">Monthly programme costs (INR per month)</t>
  </si>
  <si>
    <t xml:space="preserve">Hosting</t>
  </si>
  <si>
    <t xml:space="preserve">INR / month</t>
  </si>
  <si>
    <t xml:space="preserve">Analytics and experimentation tooling</t>
  </si>
  <si>
    <t xml:space="preserve">Development and maintenance allocation</t>
  </si>
  <si>
    <t xml:space="preserve">Placeholder allocation of team time.</t>
  </si>
  <si>
    <t xml:space="preserve">Other operating expenses</t>
  </si>
  <si>
    <t xml:space="preserve">Optional AI layer (OFF for the MVP; rules-based engine has no per-impression model call)</t>
  </si>
  <si>
    <t xml:space="preserve">AI layer enabled? (1 = yes, 0 = no)</t>
  </si>
  <si>
    <t xml:space="preserve">flag</t>
  </si>
  <si>
    <t xml:space="preserve">MVP decision: deterministic rules. Set 1 to see token cost.</t>
  </si>
  <si>
    <t xml:space="preserve">Share of impressions that make a model call</t>
  </si>
  <si>
    <t xml:space="preserve">% of impressions</t>
  </si>
  <si>
    <t xml:space="preserve">Only used if AI layer is on.</t>
  </si>
  <si>
    <t xml:space="preserve">Input tokens per AI-assisted recommendation</t>
  </si>
  <si>
    <t xml:space="preserve">tokens</t>
  </si>
  <si>
    <t xml:space="preserve">Output tokens per AI-assisted recommendation</t>
  </si>
  <si>
    <t xml:space="preserve">Input token price</t>
  </si>
  <si>
    <t xml:space="preserve">USD per 1M tokens</t>
  </si>
  <si>
    <t xml:space="preserve">External benchmark: verify</t>
  </si>
  <si>
    <t xml:space="preserve">UNVERIFIED placeholder. Source: not checked. Access date: not verified. Verify with provider pricing page.</t>
  </si>
  <si>
    <t xml:space="preserve">Output token price</t>
  </si>
  <si>
    <t xml:space="preserve">UNVERIFIED placeholder. Source: not checked. Access date: not verified.</t>
  </si>
  <si>
    <t xml:space="preserve">Exchange rate</t>
  </si>
  <si>
    <t xml:space="preserve">INR per USD</t>
  </si>
  <si>
    <t xml:space="preserve">UNVERIFIED placeholder. Use the rate on the date you verify prices.</t>
  </si>
  <si>
    <t xml:space="preserve">Pricing options (used on Billing and audit, Base column only)</t>
  </si>
  <si>
    <t xml:space="preserve">Share of eligible businesses already on the higher plan</t>
  </si>
  <si>
    <t xml:space="preserve">Option B gates discovery to these accounts.</t>
  </si>
  <si>
    <t xml:space="preserve">Upgrade rate among eligible accounts not on the higher plan</t>
  </si>
  <si>
    <t xml:space="preserve">% of eligible per cohort</t>
  </si>
  <si>
    <t xml:space="preserve">Share converting once per exposure cohort; assumed fully incremental (no cannibalisation), which favours B.</t>
  </si>
  <si>
    <t xml:space="preserve">Higher-plan price uplift</t>
  </si>
  <si>
    <t xml:space="preserve">Paid add-on price</t>
  </si>
  <si>
    <t xml:space="preserve">Add-on take rate among exposed businesses</t>
  </si>
  <si>
    <t xml:space="preserve">Option C direct revenue.</t>
  </si>
  <si>
    <t xml:space="preserve">Share of the free-version retention effect that survives a paywall</t>
  </si>
  <si>
    <t xml:space="preserve">% of free effect</t>
  </si>
  <si>
    <t xml:space="preserve">Friction assumption. A paywall on discovery reduces who adopts.</t>
  </si>
  <si>
    <t xml:space="preserve">Payment/billing fee on direct revenue</t>
  </si>
  <si>
    <t xml:space="preserve">% of direct revenue</t>
  </si>
  <si>
    <t xml:space="preserve">Target gross margin threshold (proposed operating setting)</t>
  </si>
  <si>
    <t xml:space="preserve">%</t>
  </si>
  <si>
    <t xml:space="preserve">Proposed alert threshold.</t>
  </si>
  <si>
    <t xml:space="preserve">Extra one-time billing/entitlement build cost for Options B and C</t>
  </si>
  <si>
    <t xml:space="preserve">INR</t>
  </si>
  <si>
    <t xml:space="preserve">Default 0 keeps the cost basis identical across options. Not modelled; raise it to test.</t>
  </si>
  <si>
    <t xml:space="preserve">Adoption funnel: launch cohort = the existing eligible base (later cohorts are on the Cohort engine sheet)</t>
  </si>
  <si>
    <t xml:space="preserve">Metric</t>
  </si>
  <si>
    <t xml:space="preserve">Formula logic</t>
  </si>
  <si>
    <t xml:space="preserve">Eligible businesses</t>
  </si>
  <si>
    <t xml:space="preserve">active x eligible share</t>
  </si>
  <si>
    <t xml:space="preserve">Businesses exposed to a recommendation</t>
  </si>
  <si>
    <t xml:space="preserve">eligible x exposure rate</t>
  </si>
  <si>
    <t xml:space="preserve">Recommendation impressions</t>
  </si>
  <si>
    <t xml:space="preserve">exposed x impressions per business</t>
  </si>
  <si>
    <t xml:space="preserve">Businesses clicking a recommendation</t>
  </si>
  <si>
    <t xml:space="preserve">exposed x click rate</t>
  </si>
  <si>
    <t xml:space="preserve">Setup starts</t>
  </si>
  <si>
    <t xml:space="preserve">clicks x start rate</t>
  </si>
  <si>
    <t xml:space="preserve">Successful activations (treatment)</t>
  </si>
  <si>
    <t xml:space="preserve">starts x completion rate</t>
  </si>
  <si>
    <t xml:space="preserve">End-to-end activation rate among exposed</t>
  </si>
  <si>
    <t xml:space="preserve">activations / exposed</t>
  </si>
  <si>
    <t xml:space="preserve">Expected activations in control (same exposed count)</t>
  </si>
  <si>
    <t xml:space="preserve">exposed x control activation rate</t>
  </si>
  <si>
    <t xml:space="preserve">Incremental activations vs control</t>
  </si>
  <si>
    <t xml:space="preserve">treatment - control</t>
  </si>
  <si>
    <t xml:space="preserve">Incremental share of treatment activations</t>
  </si>
  <si>
    <t xml:space="preserve">incremental / treatment activations</t>
  </si>
  <si>
    <t xml:space="preserve">Relative lift in activation vs control</t>
  </si>
  <si>
    <t xml:space="preserve">treatment / control - 1</t>
  </si>
  <si>
    <t xml:space="preserve">Reading note: activations that would have happened anyway are NOT credited to the programme; only incremental activations are.</t>
  </si>
  <si>
    <t xml:space="preserve">Cost model (INR per month)</t>
  </si>
  <si>
    <t xml:space="preserve">Item</t>
  </si>
  <si>
    <t xml:space="preserve">Type / logic</t>
  </si>
  <si>
    <t xml:space="preserve">Fixed costs</t>
  </si>
  <si>
    <t xml:space="preserve">fixed</t>
  </si>
  <si>
    <t xml:space="preserve">fixed (allocation)</t>
  </si>
  <si>
    <t xml:space="preserve">Total fixed cost</t>
  </si>
  <si>
    <t xml:space="preserve">sum</t>
  </si>
  <si>
    <t xml:space="preserve">Variable cost: optional LLM tokens (zero only because the AI layer is switched off)</t>
  </si>
  <si>
    <t xml:space="preserve">Token cost per AI-assisted recommendation</t>
  </si>
  <si>
    <t xml:space="preserve">INR / call</t>
  </si>
  <si>
    <t xml:space="preserve">(in/1M x in price + out/1M x out price) x FX. Prices unverified.</t>
  </si>
  <si>
    <t xml:space="preserve">AI calls in the launch month</t>
  </si>
  <si>
    <t xml:space="preserve">calls</t>
  </si>
  <si>
    <t xml:space="preserve">impressions x AI share x AI flag</t>
  </si>
  <si>
    <t xml:space="preserve">Variable AI token cost</t>
  </si>
  <si>
    <t xml:space="preserve">cost per call x calls</t>
  </si>
  <si>
    <t xml:space="preserve">Launch-month operating cost (fixed + AI at launch-month impressions)</t>
  </si>
  <si>
    <t xml:space="preserve">fixed + variable</t>
  </si>
  <si>
    <t xml:space="preserve">Unit costs</t>
  </si>
  <si>
    <t xml:space="preserve">Launch-month cost per eligible business</t>
  </si>
  <si>
    <t xml:space="preserve">INR / eligible</t>
  </si>
  <si>
    <t xml:space="preserve">total / eligible</t>
  </si>
  <si>
    <t xml:space="preserve">Launch-month cost per exposed business</t>
  </si>
  <si>
    <t xml:space="preserve">INR / exposed</t>
  </si>
  <si>
    <t xml:space="preserve">total / exposed</t>
  </si>
  <si>
    <t xml:space="preserve">Launch-month cost per successful activation</t>
  </si>
  <si>
    <t xml:space="preserve">INR / activation</t>
  </si>
  <si>
    <t xml:space="preserve">total / treatment activations</t>
  </si>
  <si>
    <t xml:space="preserve">Launch-month cost per incremental activation</t>
  </si>
  <si>
    <t xml:space="preserve">total / incremental activations (0 if none)</t>
  </si>
  <si>
    <t xml:space="preserve">Cost structure</t>
  </si>
  <si>
    <t xml:space="preserve">Fixed share of total cost</t>
  </si>
  <si>
    <t xml:space="preserve">fixed / total</t>
  </si>
  <si>
    <t xml:space="preserve">Variable share of total cost</t>
  </si>
  <si>
    <t xml:space="preserve">variable / total</t>
  </si>
  <si>
    <t xml:space="preserve">Design choice: a deterministic rules engine means each impression costs no model call. Cost is almost entirely fixed (team time, hosting, tooling). If an LLM layer is added, set the AI flag to 1 on Assumptions.</t>
  </si>
  <si>
    <t xml:space="preserve">Cohort engine: monthly exposure cohorts and retained account-months</t>
  </si>
  <si>
    <t xml:space="preserve">Cohort m is exposed in month m. L = months left in the window; benefit months = L minus the activation lag. Capacity: horizon up to 24 months. Cohort 1 is the launch cohort (existing eligible base); later cohorts are newly eligible businesses (Assumptions).</t>
  </si>
  <si>
    <t xml:space="preserve">Month m</t>
  </si>
  <si>
    <t xml:space="preserve">Exposed in cohort</t>
  </si>
  <si>
    <t xml:space="preserve">Months in window (L)</t>
  </si>
  <si>
    <t xml:space="preserve">Benefit months (L - lag)</t>
  </si>
  <si>
    <t xml:space="preserve">Control retained months per exposed, L</t>
  </si>
  <si>
    <t xml:space="preserve">Control retained months per exposed, benefit months</t>
  </si>
  <si>
    <t xml:space="preserve">Activator retained months per exposed, benefit months</t>
  </si>
  <si>
    <t xml:space="preserve">Summary by scenario</t>
  </si>
  <si>
    <t xml:space="preserve">S1 exposed accounts (launch cohort only)</t>
  </si>
  <si>
    <t xml:space="preserve">accounts</t>
  </si>
  <si>
    <t xml:space="preserve">S1 sum of size x control retained months (L)</t>
  </si>
  <si>
    <t xml:space="preserve">account-months</t>
  </si>
  <si>
    <t xml:space="preserve">S1 sum of size x (activator - control retained months, benefit months)</t>
  </si>
  <si>
    <t xml:space="preserve">S2 total exposed accounts over the window</t>
  </si>
  <si>
    <t xml:space="preserve">S2 sum of size x control retained months (L)</t>
  </si>
  <si>
    <t xml:space="preserve">S2 sum of size x (activator - control retained months, benefit months)</t>
  </si>
  <si>
    <t xml:space="preserve">Horizon within 24-month capacity?</t>
  </si>
  <si>
    <t xml:space="preserve">check</t>
  </si>
  <si>
    <t xml:space="preserve">Revenue and business case: two views over the same horizon and cost basis</t>
  </si>
  <si>
    <t xml:space="preserve">Logic</t>
  </si>
  <si>
    <t xml:space="preserve">Common drivers</t>
  </si>
  <si>
    <t xml:space="preserve">Incremental activation rate (treatment minus control)</t>
  </si>
  <si>
    <t xml:space="preserve">end-to-end activation - control activation</t>
  </si>
  <si>
    <t xml:space="preserve">Monthly churn, control</t>
  </si>
  <si>
    <t xml:space="preserve">assumption</t>
  </si>
  <si>
    <t xml:space="preserve">Monthly churn, incremental activators</t>
  </si>
  <si>
    <t xml:space="preserve">Churn reduction for an incremental activator</t>
  </si>
  <si>
    <t xml:space="preserve">pp per month</t>
  </si>
  <si>
    <t xml:space="preserve">control - activator</t>
  </si>
  <si>
    <t xml:space="preserve">Activation lag before benefit</t>
  </si>
  <si>
    <t xml:space="preserve">Horizon</t>
  </si>
  <si>
    <t xml:space="preserve">placeholder</t>
  </si>
  <si>
    <t xml:space="preserve">Gross margin on plan revenue</t>
  </si>
  <si>
    <t xml:space="preserve">Expected treatment-minus-holdout survival gap at horizon end (launch cohort)</t>
  </si>
  <si>
    <t xml:space="preserve">percentage points</t>
  </si>
  <si>
    <t xml:space="preserve">what a holdout would need to detect; small gaps need large samples</t>
  </si>
  <si>
    <t xml:space="preserve">Monthly plan revenue of the existing base (context only; NOT credited to the programme)</t>
  </si>
  <si>
    <t xml:space="preserve">active x price</t>
  </si>
  <si>
    <t xml:space="preserve">Scenario 1: single cohort. The existing eligible base is exposed once; no later cohorts; full programme cost for the whole horizon</t>
  </si>
  <si>
    <t xml:space="preserve">Exposed accounts (launch cohort)</t>
  </si>
  <si>
    <t xml:space="preserve">Cohort engine</t>
  </si>
  <si>
    <t xml:space="preserve">Incremental activations</t>
  </si>
  <si>
    <t xml:space="preserve">exposed x incremental rate</t>
  </si>
  <si>
    <t xml:space="preserve">Incremental retained account-months</t>
  </si>
  <si>
    <t xml:space="preserve">rate x sum of size x (activator - control months)</t>
  </si>
  <si>
    <t xml:space="preserve">Incremental plan revenue</t>
  </si>
  <si>
    <t xml:space="preserve">account-months x price</t>
  </si>
  <si>
    <t xml:space="preserve">Gross profit on incremental revenue</t>
  </si>
  <si>
    <t xml:space="preserve">revenue x gross margin</t>
  </si>
  <si>
    <t xml:space="preserve">Programme cost over horizon</t>
  </si>
  <si>
    <t xml:space="preserve">fixed x H + AI token cost on cohort impressions (0 while AI is off)</t>
  </si>
  <si>
    <t xml:space="preserve">Net contribution over horizon</t>
  </si>
  <si>
    <t xml:space="preserve">gross profit - programme cost</t>
  </si>
  <si>
    <t xml:space="preserve">Average net contribution per month</t>
  </si>
  <si>
    <t xml:space="preserve">net / H</t>
  </si>
  <si>
    <t xml:space="preserve">ROI on programme cost</t>
  </si>
  <si>
    <t xml:space="preserve">net contribution / programme cost</t>
  </si>
  <si>
    <t xml:space="preserve">Break-even incremental account-months</t>
  </si>
  <si>
    <t xml:space="preserve">cost / (price x gross margin)</t>
  </si>
  <si>
    <t xml:space="preserve">Modelled account-months as a multiple of break-even</t>
  </si>
  <si>
    <t xml:space="preserve">x</t>
  </si>
  <si>
    <t xml:space="preserve">&gt;=1.00x pays back</t>
  </si>
  <si>
    <t xml:space="preserve">Programme cost per incremental retained account-month</t>
  </si>
  <si>
    <t xml:space="preserve">cost / incremental account-months (compare with price x margin)</t>
  </si>
  <si>
    <t xml:space="preserve">Scenario 2: recurring monthly rollout. Launch cohort PLUS a new cohort each month; same horizon and same cost lines; includes Scenario 1</t>
  </si>
  <si>
    <t xml:space="preserve">Launch cohort exposed</t>
  </si>
  <si>
    <t xml:space="preserve">New cohort exposed each month after launch</t>
  </si>
  <si>
    <t xml:space="preserve">accounts / month</t>
  </si>
  <si>
    <t xml:space="preserve">active x newly eligible share x exposure rate</t>
  </si>
  <si>
    <t xml:space="preserve">Total exposed accounts over the horizon</t>
  </si>
  <si>
    <t xml:space="preserve">Incremental retained account-months (within horizon)</t>
  </si>
  <si>
    <t xml:space="preserve">later cohorts have fewer months left in the window</t>
  </si>
  <si>
    <t xml:space="preserve">fixed x H + AI token cost on all cohort impressions</t>
  </si>
  <si>
    <t xml:space="preserve">cost / incremental account-months</t>
  </si>
  <si>
    <t xml:space="preserve">Scenario 1 assumptions: one exposure cohort (the existing eligible base); no new eligible accounts; retention benefit starts after the activation lag; revenue counted once per retained account-month; the whole fixed cost (team allocation, hosting, tooling) runs for H months. It answers: does launching once to today's base repay a team that keeps running?</t>
  </si>
  <si>
    <t xml:space="preserve">Scenario 2 assumptions: same as 1, plus a new cohort each month sized by the newly-eligible-inflow placeholder. Benefits of a late cohort are cut off at the end of the window (conservative); cost is the same fixed amount. It answers: does a continuing programme pay back inside H months?</t>
  </si>
  <si>
    <t xml:space="preserve">Neither view discounts cash flows or credits benefits after the horizon. Observed adopter-vs-non-adopter differences are NOT used; adopters self-select. Only incremental activators (versus control) receive a retention benefit.</t>
  </si>
  <si>
    <t xml:space="preserve">Sensitivity (Base scenario): ROI when churn of incremental activators and activation conversion are WORSE than base. Rows = monthly churn of incremental activators (5.0% = no benefit). Columns = end-to-end activation conversion among exposed (control rate is on Assumptions)</t>
  </si>
  <si>
    <t xml:space="preserve">Scenario 1 (single cohort): ROI over the horizon</t>
  </si>
  <si>
    <t xml:space="preserve">Churn of incremental activators  \  End-to-end activation conversion</t>
  </si>
  <si>
    <t xml:space="preserve">Scenario 2 (recurring monthly rollout): ROI over the horizon</t>
  </si>
  <si>
    <t xml:space="preserve">Check: base cell of grid 1 equals Scenario 1 ROI (Base)</t>
  </si>
  <si>
    <t xml:space="preserve">Check: base cell of grid 2 equals Scenario 2 ROI (Base)</t>
  </si>
  <si>
    <t xml:space="preserve">Green = pays back, red = does not. The churn row 5.0% and the conversion column equal to the control rate show the no-effect case, which must lose the programme cost.</t>
  </si>
  <si>
    <t xml:space="preserve">Pricing options and monthly audit (Base scenario; every option uses the same horizon and the same cost basis)</t>
  </si>
  <si>
    <t xml:space="preserve">Scenario 1 (single cohort), Base inputs</t>
  </si>
  <si>
    <t xml:space="preserve">A: Free for all eligible</t>
  </si>
  <si>
    <t xml:space="preserve">B: Higher plan only</t>
  </si>
  <si>
    <t xml:space="preserve">C: Paid add-on</t>
  </si>
  <si>
    <t xml:space="preserve">Adoption factor vs free version</t>
  </si>
  <si>
    <t xml:space="preserve">A: 100%. B: only accounts already on the higher plan see it. C: guessed share surviving a paywall</t>
  </si>
  <si>
    <t xml:space="preserve">Incremental retained account-months from discovery</t>
  </si>
  <si>
    <t xml:space="preserve">scenario account-months x factor</t>
  </si>
  <si>
    <t xml:space="preserve">Plan revenue from the retention effect</t>
  </si>
  <si>
    <t xml:space="preserve">Billed account-months of the paid feature</t>
  </si>
  <si>
    <t xml:space="preserve">B: eligible not on higher plan x upgrade rate x months retained at control churn. C: exposed x take rate x months retained. Both assumed fully incremental (favours B and C)</t>
  </si>
  <si>
    <t xml:space="preserve">Direct revenue from the paid feature</t>
  </si>
  <si>
    <t xml:space="preserve">billed account-months x uplift or add-on price</t>
  </si>
  <si>
    <t xml:space="preserve">Total attributable revenue</t>
  </si>
  <si>
    <t xml:space="preserve">retention + direct</t>
  </si>
  <si>
    <t xml:space="preserve">Variable: payment/billing fees</t>
  </si>
  <si>
    <t xml:space="preserve">direct revenue x fee</t>
  </si>
  <si>
    <t xml:space="preserve">Variable: serving cost of revenue</t>
  </si>
  <si>
    <t xml:space="preserve">revenue x (1 - gross margin)</t>
  </si>
  <si>
    <t xml:space="preserve">Variable: AI token cost</t>
  </si>
  <si>
    <t xml:space="preserve">same for all options; 0 while AI is off</t>
  </si>
  <si>
    <t xml:space="preserve">Gross profit</t>
  </si>
  <si>
    <t xml:space="preserve">revenue - variable costs</t>
  </si>
  <si>
    <t xml:space="preserve">Gross margin</t>
  </si>
  <si>
    <t xml:space="preserve">% of revenue</t>
  </si>
  <si>
    <t xml:space="preserve">gross profit / revenue</t>
  </si>
  <si>
    <t xml:space="preserve">Fixed programme cost over horizon</t>
  </si>
  <si>
    <t xml:space="preserve">identical for all options (same cost basis)</t>
  </si>
  <si>
    <t xml:space="preserve">One-time billing/entitlement build cost</t>
  </si>
  <si>
    <t xml:space="preserve">0 by default; raise on Assumptions to test</t>
  </si>
  <si>
    <t xml:space="preserve">Operating contribution over horizon</t>
  </si>
  <si>
    <t xml:space="preserve">gross profit - fixed - build (kept separate from gross margin)</t>
  </si>
  <si>
    <t xml:space="preserve">ROI on total programme cost</t>
  </si>
  <si>
    <t xml:space="preserve">contribution / (fixed + build + AI)</t>
  </si>
  <si>
    <t xml:space="preserve">Highest modelled operating contribution</t>
  </si>
  <si>
    <t xml:space="preserve">Best option minus Option A (INR over horizon)</t>
  </si>
  <si>
    <t xml:space="preserve">Check: add-on buyers as a share of all activations under Option C (must be &lt;= 100%)</t>
  </si>
  <si>
    <t xml:space="preserve">Add-on take rate at which Option C equals Option A (given the friction assumption)</t>
  </si>
  <si>
    <t xml:space="preserve">Scenario 2 (recurring monthly rollout), Base inputs</t>
  </si>
  <si>
    <t xml:space="preserve">Default for the MVP (my product judgment, NOT a modelled result): Option A, keep discovery free for all eligible accounts.</t>
  </si>
  <si>
    <t xml:space="preserve">What the model says (default Base inputs, 12 months): Option C leads A by roughly INR 54,000 (Scenario 1) and INR 85,000 (Scenario 2), with B in between. About 70-85% of the revenue in B and C is direct revenue from take-rate guesses with no evidence behind them. C only beats A if the add-on take rate is at least the break-even shown above (about 2% against the 3% assumed).</t>
  </si>
  <si>
    <t xml:space="preserve">Why I would still start free: charging for the first discovery step would shrink the exposed group and blur the holdout comparison, and the paywall friction factor is a guess. Test a paid tier after activation and retention have been measured.</t>
  </si>
  <si>
    <t xml:space="preserve">No option pays back in the Base case (all contributions are negative in both scenarios). Pricing does not rescue the business case; the retention effect does.</t>
  </si>
  <si>
    <t xml:space="preserve">Limitations: direct revenue assumes upgrades and add-ons are fully incremental (no cannibalisation) and retained at control churn; build and billing support costs default to 0, which favours B and C. Re-check this text after editing inputs.</t>
  </si>
  <si>
    <t xml:space="preserve">Monthly audit checks. 'Observed' values are EXAMPLE DATA to show the alert logic. Replace with real monthly data.</t>
  </si>
  <si>
    <t xml:space="preserve">Check</t>
  </si>
  <si>
    <t xml:space="preserve">Observed 1 (input)</t>
  </si>
  <si>
    <t xml:space="preserve">Observed 2 (input)</t>
  </si>
  <si>
    <t xml:space="preserve">Threshold (proposed)</t>
  </si>
  <si>
    <t xml:space="preserve">Status</t>
  </si>
  <si>
    <t xml:space="preserve">Action when ALERT</t>
  </si>
  <si>
    <t xml:space="preserve">Metric definition</t>
  </si>
  <si>
    <t xml:space="preserve">1. Event count vs analytics records</t>
  </si>
  <si>
    <t xml:space="preserve">Pause reporting; reconcile the event pipeline before publishing metrics.</t>
  </si>
  <si>
    <t xml:space="preserve">|events - analytics| / analytics (obs 1 = events, obs 2 = analytics)</t>
  </si>
  <si>
    <t xml:space="preserve">2. Duplicate activations</t>
  </si>
  <si>
    <t xml:space="preserve">De-duplicate by account + automation ID; restate activation count.</t>
  </si>
  <si>
    <t xml:space="preserve">duplicates / total activations</t>
  </si>
  <si>
    <t xml:space="preserve">3. Invalid or missing account IDs</t>
  </si>
  <si>
    <t xml:space="preserve">Block the event source; exclude rows from metrics until fixed.</t>
  </si>
  <si>
    <t xml:space="preserve">invalid IDs / events</t>
  </si>
  <si>
    <t xml:space="preserve">4. Activations with no matching exposure record</t>
  </si>
  <si>
    <t xml:space="preserve">Fix attribution; denominators for activation rate are invalid.</t>
  </si>
  <si>
    <t xml:space="preserve">unmatched activations / activations</t>
  </si>
  <si>
    <t xml:space="preserve">5. Token usage vs provider invoice (only if AI on)</t>
  </si>
  <si>
    <t xml:space="preserve">Investigate unlogged calls or price changes; true up cost model.</t>
  </si>
  <si>
    <t xml:space="preserve">|logged - invoiced| / invoiced (tokens)</t>
  </si>
  <si>
    <t xml:space="preserve">6. Billing ledger vs subscription records (INR)</t>
  </si>
  <si>
    <t xml:space="preserve">Finance reconciliation before invoices go out.</t>
  </si>
  <si>
    <t xml:space="preserve">|ledger - subscriptions| / subscriptions</t>
  </si>
  <si>
    <t xml:space="preserve">7. Cost per activation vs model (INR; obs 2 = Base launch-month model)</t>
  </si>
  <si>
    <t xml:space="preserve">Review fixed-cost allocation and activation volume.</t>
  </si>
  <si>
    <t xml:space="preserve">observed / modelled - 1</t>
  </si>
  <si>
    <t xml:space="preserve">8a. Recommendation spam: impressions per exposed account</t>
  </si>
  <si>
    <t xml:space="preserve">Tighten frequency cap or suppression rules.</t>
  </si>
  <si>
    <t xml:space="preserve">impressions / exposed accounts (monthly)</t>
  </si>
  <si>
    <t xml:space="preserve">8b. Dismissal rate</t>
  </si>
  <si>
    <t xml:space="preserve">Review relevance rules; read 'not relevant' feedback.</t>
  </si>
  <si>
    <t xml:space="preserve">dismissals / impressions</t>
  </si>
  <si>
    <t xml:space="preserve">9. Retention by cohort: treatment minus holdout monthly churn</t>
  </si>
  <si>
    <t xml:space="preserve">If treatment churn is higher, stop expansion and investigate (check cohort sizes first).</t>
  </si>
  <si>
    <t xml:space="preserve">obs 1 = treatment churn, obs 2 = holdout churn</t>
  </si>
  <si>
    <t xml:space="preserve">10. Gross margin below target (Option A, Scenario 2)</t>
  </si>
  <si>
    <t xml:space="preserve">Re-examine pricing and variable cost drivers.</t>
  </si>
  <si>
    <t xml:space="preserve">gross margin of Option A vs target</t>
  </si>
  <si>
    <t xml:space="preserve">Alert count</t>
  </si>
  <si>
    <t xml:space="preserve">Thresholds are proposed operating settings, not Cheerio standards. With the example data only check 2 shows ALERT, to demonstrate the logic.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</si>
</sst>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#,##0.0;\(#,##0.0\);\-"/>
    <numFmt numFmtId="168" formatCode="0.00%;\(0.00%\);\-"/>
    <numFmt numFmtId="169" formatCode="\₹#,##0;&quot;(₹&quot;#,##0\);\-"/>
    <numFmt numFmtId="170" formatCode="0.00"/>
    <numFmt numFmtId="171" formatCode="\₹#,##0.0000;&quot;(₹&quot;#,##0.0000\);\-"/>
    <numFmt numFmtId="172" formatCode="\₹#,##0.00;&quot;(₹&quot;#,##0.00\);\-"/>
    <numFmt numFmtId="173" formatCode="0.000"/>
    <numFmt numFmtId="174" formatCode="#,##0.#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E7EFE9"/>
        <bgColor rgb="FFFFFFFF"/>
      </patternFill>
    </fill>
    <fill>
      <patternFill patternType="solid">
        <fgColor rgb="FFFFFF99"/>
        <bgColor rgb="FFE7EF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FE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3.8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35.05" hidden="false" customHeight="false" outlineLevel="0" collapsed="false">
      <c r="A11" s="2" t="s">
        <v>7</v>
      </c>
    </row>
    <row r="12" customFormat="false" ht="23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9</v>
      </c>
    </row>
    <row r="15" customFormat="false" ht="35.0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/>
    </row>
    <row r="17" customFormat="false" ht="23.85" hidden="false" customHeight="false" outlineLevel="0" collapsed="false">
      <c r="A17" s="2" t="s">
        <v>11</v>
      </c>
    </row>
    <row r="18" customFormat="false" ht="23.85" hidden="false" customHeight="false" outlineLevel="0" collapsed="false">
      <c r="A1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2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4" t="s">
        <v>13</v>
      </c>
    </row>
    <row r="2" customFormat="false" ht="15" hidden="false" customHeight="false" outlineLevel="0" collapsed="false">
      <c r="A2" s="5" t="s">
        <v>14</v>
      </c>
    </row>
    <row r="4" customFormat="false" ht="15" hidden="false" customHeight="false" outlineLevel="0" collapsed="false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</row>
    <row r="5" customFormat="false" ht="15" hidden="false" customHeight="false" outlineLevel="0" collapsed="false">
      <c r="A5" s="7" t="s">
        <v>22</v>
      </c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9" t="s">
        <v>23</v>
      </c>
      <c r="B6" s="9" t="s">
        <v>24</v>
      </c>
      <c r="C6" s="10" t="n">
        <f aca="false">D6</f>
        <v>5000</v>
      </c>
      <c r="D6" s="11" t="n">
        <v>5000</v>
      </c>
      <c r="E6" s="10" t="n">
        <f aca="false">D6</f>
        <v>5000</v>
      </c>
      <c r="F6" s="9" t="s">
        <v>25</v>
      </c>
      <c r="G6" s="12" t="s">
        <v>26</v>
      </c>
    </row>
    <row r="7" customFormat="false" ht="15" hidden="false" customHeight="false" outlineLevel="0" collapsed="false">
      <c r="A7" s="9" t="s">
        <v>27</v>
      </c>
      <c r="B7" s="9" t="s">
        <v>28</v>
      </c>
      <c r="C7" s="13" t="n">
        <v>0.3</v>
      </c>
      <c r="D7" s="13" t="n">
        <v>0.4</v>
      </c>
      <c r="E7" s="13" t="n">
        <v>0.5</v>
      </c>
      <c r="F7" s="9" t="s">
        <v>29</v>
      </c>
      <c r="G7" s="12" t="s">
        <v>30</v>
      </c>
    </row>
    <row r="8" customFormat="false" ht="15" hidden="false" customHeight="false" outlineLevel="0" collapsed="false">
      <c r="A8" s="9" t="s">
        <v>31</v>
      </c>
      <c r="B8" s="9" t="s">
        <v>32</v>
      </c>
      <c r="C8" s="13" t="n">
        <v>0.7</v>
      </c>
      <c r="D8" s="13" t="n">
        <v>0.8</v>
      </c>
      <c r="E8" s="13" t="n">
        <v>0.9</v>
      </c>
      <c r="F8" s="9" t="s">
        <v>29</v>
      </c>
      <c r="G8" s="12" t="s">
        <v>33</v>
      </c>
    </row>
    <row r="9" customFormat="false" ht="35.05" hidden="false" customHeight="false" outlineLevel="0" collapsed="false">
      <c r="A9" s="9" t="s">
        <v>34</v>
      </c>
      <c r="B9" s="9" t="s">
        <v>35</v>
      </c>
      <c r="C9" s="13" t="n">
        <v>0.015</v>
      </c>
      <c r="D9" s="13" t="n">
        <v>0.02</v>
      </c>
      <c r="E9" s="13" t="n">
        <v>0.03</v>
      </c>
      <c r="F9" s="9" t="s">
        <v>29</v>
      </c>
      <c r="G9" s="12" t="s">
        <v>36</v>
      </c>
    </row>
    <row r="10" customFormat="false" ht="15" hidden="false" customHeight="false" outlineLevel="0" collapsed="false">
      <c r="A10" s="9" t="s">
        <v>37</v>
      </c>
      <c r="B10" s="9" t="s">
        <v>38</v>
      </c>
      <c r="C10" s="14" t="n">
        <f aca="false">D10</f>
        <v>2.5</v>
      </c>
      <c r="D10" s="15" t="n">
        <v>2.5</v>
      </c>
      <c r="E10" s="14" t="n">
        <f aca="false">D10</f>
        <v>2.5</v>
      </c>
      <c r="F10" s="9" t="s">
        <v>29</v>
      </c>
      <c r="G10" s="12" t="s">
        <v>39</v>
      </c>
    </row>
    <row r="11" customFormat="false" ht="15" hidden="false" customHeight="false" outlineLevel="0" collapsed="false">
      <c r="A11" s="7" t="s">
        <v>40</v>
      </c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9" t="s">
        <v>41</v>
      </c>
      <c r="B12" s="9" t="s">
        <v>42</v>
      </c>
      <c r="C12" s="13" t="n">
        <v>0.25</v>
      </c>
      <c r="D12" s="13" t="n">
        <v>0.3</v>
      </c>
      <c r="E12" s="13" t="n">
        <v>0.35</v>
      </c>
      <c r="F12" s="9" t="s">
        <v>29</v>
      </c>
      <c r="G12" s="12" t="s">
        <v>43</v>
      </c>
    </row>
    <row r="13" customFormat="false" ht="15" hidden="false" customHeight="false" outlineLevel="0" collapsed="false">
      <c r="A13" s="9" t="s">
        <v>44</v>
      </c>
      <c r="B13" s="9" t="s">
        <v>45</v>
      </c>
      <c r="C13" s="13" t="n">
        <v>0.6</v>
      </c>
      <c r="D13" s="13" t="n">
        <v>0.68</v>
      </c>
      <c r="E13" s="13" t="n">
        <v>0.72</v>
      </c>
      <c r="F13" s="9" t="s">
        <v>29</v>
      </c>
      <c r="G13" s="12" t="s">
        <v>46</v>
      </c>
    </row>
    <row r="14" customFormat="false" ht="15" hidden="false" customHeight="false" outlineLevel="0" collapsed="false">
      <c r="A14" s="9" t="s">
        <v>47</v>
      </c>
      <c r="B14" s="9" t="s">
        <v>48</v>
      </c>
      <c r="C14" s="13" t="n">
        <v>0.55</v>
      </c>
      <c r="D14" s="13" t="n">
        <v>0.63</v>
      </c>
      <c r="E14" s="13" t="n">
        <v>0.7</v>
      </c>
      <c r="F14" s="9" t="s">
        <v>29</v>
      </c>
      <c r="G14" s="12" t="s">
        <v>46</v>
      </c>
    </row>
    <row r="15" customFormat="false" ht="23.85" hidden="false" customHeight="false" outlineLevel="0" collapsed="false">
      <c r="A15" s="9" t="s">
        <v>49</v>
      </c>
      <c r="B15" s="9" t="s">
        <v>50</v>
      </c>
      <c r="C15" s="13" t="n">
        <v>0.06</v>
      </c>
      <c r="D15" s="13" t="n">
        <v>0.05</v>
      </c>
      <c r="E15" s="13" t="n">
        <v>0.04</v>
      </c>
      <c r="F15" s="9" t="s">
        <v>29</v>
      </c>
      <c r="G15" s="12" t="s">
        <v>51</v>
      </c>
    </row>
    <row r="16" customFormat="false" ht="15" hidden="false" customHeight="false" outlineLevel="0" collapsed="false">
      <c r="A16" s="7" t="s">
        <v>52</v>
      </c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9" t="s">
        <v>53</v>
      </c>
      <c r="B17" s="9" t="s">
        <v>54</v>
      </c>
      <c r="C17" s="16" t="n">
        <f aca="false">D17</f>
        <v>0.05</v>
      </c>
      <c r="D17" s="13" t="n">
        <v>0.05</v>
      </c>
      <c r="E17" s="16" t="n">
        <f aca="false">D17</f>
        <v>0.05</v>
      </c>
      <c r="F17" s="9" t="s">
        <v>55</v>
      </c>
      <c r="G17" s="12" t="s">
        <v>56</v>
      </c>
    </row>
    <row r="18" customFormat="false" ht="35.05" hidden="false" customHeight="false" outlineLevel="0" collapsed="false">
      <c r="A18" s="9" t="s">
        <v>57</v>
      </c>
      <c r="B18" s="9" t="s">
        <v>54</v>
      </c>
      <c r="C18" s="17" t="n">
        <v>0.04</v>
      </c>
      <c r="D18" s="17" t="n">
        <v>0.035</v>
      </c>
      <c r="E18" s="17" t="n">
        <v>0.03</v>
      </c>
      <c r="F18" s="9" t="s">
        <v>29</v>
      </c>
      <c r="G18" s="12" t="s">
        <v>58</v>
      </c>
    </row>
    <row r="19" customFormat="false" ht="15" hidden="false" customHeight="false" outlineLevel="0" collapsed="false">
      <c r="A19" s="9" t="s">
        <v>59</v>
      </c>
      <c r="B19" s="9" t="s">
        <v>60</v>
      </c>
      <c r="C19" s="10" t="n">
        <f aca="false">D19</f>
        <v>1</v>
      </c>
      <c r="D19" s="18" t="n">
        <v>1</v>
      </c>
      <c r="E19" s="10" t="n">
        <f aca="false">D19</f>
        <v>1</v>
      </c>
      <c r="F19" s="9" t="s">
        <v>29</v>
      </c>
      <c r="G19" s="12" t="s">
        <v>61</v>
      </c>
    </row>
    <row r="20" customFormat="false" ht="23.85" hidden="false" customHeight="false" outlineLevel="0" collapsed="false">
      <c r="A20" s="9" t="s">
        <v>62</v>
      </c>
      <c r="B20" s="9" t="s">
        <v>60</v>
      </c>
      <c r="C20" s="10" t="n">
        <f aca="false">D20</f>
        <v>12</v>
      </c>
      <c r="D20" s="18" t="n">
        <v>12</v>
      </c>
      <c r="E20" s="10" t="n">
        <f aca="false">D20</f>
        <v>12</v>
      </c>
      <c r="F20" s="9" t="s">
        <v>55</v>
      </c>
      <c r="G20" s="12" t="s">
        <v>63</v>
      </c>
    </row>
    <row r="21" customFormat="false" ht="15" hidden="false" customHeight="false" outlineLevel="0" collapsed="false">
      <c r="A21" s="7" t="s">
        <v>64</v>
      </c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9" t="s">
        <v>65</v>
      </c>
      <c r="B22" s="9" t="s">
        <v>66</v>
      </c>
      <c r="C22" s="19" t="n">
        <f aca="false">D22</f>
        <v>2500</v>
      </c>
      <c r="D22" s="20" t="n">
        <v>2500</v>
      </c>
      <c r="E22" s="19" t="n">
        <f aca="false">D22</f>
        <v>2500</v>
      </c>
      <c r="F22" s="9" t="s">
        <v>55</v>
      </c>
      <c r="G22" s="12" t="s">
        <v>67</v>
      </c>
    </row>
    <row r="23" customFormat="false" ht="15" hidden="false" customHeight="false" outlineLevel="0" collapsed="false">
      <c r="A23" s="9" t="s">
        <v>68</v>
      </c>
      <c r="B23" s="9" t="s">
        <v>69</v>
      </c>
      <c r="C23" s="16" t="n">
        <f aca="false">D23</f>
        <v>0.85</v>
      </c>
      <c r="D23" s="13" t="n">
        <v>0.85</v>
      </c>
      <c r="E23" s="16" t="n">
        <f aca="false">D23</f>
        <v>0.85</v>
      </c>
      <c r="F23" s="9" t="s">
        <v>55</v>
      </c>
      <c r="G23" s="12" t="s">
        <v>70</v>
      </c>
    </row>
    <row r="24" customFormat="false" ht="15" hidden="false" customHeight="false" outlineLevel="0" collapsed="false">
      <c r="A24" s="7" t="s">
        <v>71</v>
      </c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9" t="s">
        <v>72</v>
      </c>
      <c r="B25" s="9" t="s">
        <v>73</v>
      </c>
      <c r="C25" s="19" t="n">
        <f aca="false">D25</f>
        <v>6000</v>
      </c>
      <c r="D25" s="20" t="n">
        <v>6000</v>
      </c>
      <c r="E25" s="19" t="n">
        <f aca="false">D25</f>
        <v>6000</v>
      </c>
      <c r="F25" s="9" t="s">
        <v>55</v>
      </c>
      <c r="G25" s="12" t="s">
        <v>70</v>
      </c>
    </row>
    <row r="26" customFormat="false" ht="15" hidden="false" customHeight="false" outlineLevel="0" collapsed="false">
      <c r="A26" s="9" t="s">
        <v>74</v>
      </c>
      <c r="B26" s="9" t="s">
        <v>73</v>
      </c>
      <c r="C26" s="19" t="n">
        <f aca="false">D26</f>
        <v>4000</v>
      </c>
      <c r="D26" s="20" t="n">
        <v>4000</v>
      </c>
      <c r="E26" s="19" t="n">
        <f aca="false">D26</f>
        <v>4000</v>
      </c>
      <c r="F26" s="9" t="s">
        <v>55</v>
      </c>
      <c r="G26" s="12" t="s">
        <v>70</v>
      </c>
    </row>
    <row r="27" customFormat="false" ht="15" hidden="false" customHeight="false" outlineLevel="0" collapsed="false">
      <c r="A27" s="9" t="s">
        <v>75</v>
      </c>
      <c r="B27" s="9" t="s">
        <v>73</v>
      </c>
      <c r="C27" s="19" t="n">
        <f aca="false">D27</f>
        <v>25000</v>
      </c>
      <c r="D27" s="20" t="n">
        <v>25000</v>
      </c>
      <c r="E27" s="19" t="n">
        <f aca="false">D27</f>
        <v>25000</v>
      </c>
      <c r="F27" s="9" t="s">
        <v>55</v>
      </c>
      <c r="G27" s="12" t="s">
        <v>76</v>
      </c>
    </row>
    <row r="28" customFormat="false" ht="15" hidden="false" customHeight="false" outlineLevel="0" collapsed="false">
      <c r="A28" s="9" t="s">
        <v>77</v>
      </c>
      <c r="B28" s="9" t="s">
        <v>73</v>
      </c>
      <c r="C28" s="19" t="n">
        <f aca="false">D28</f>
        <v>2000</v>
      </c>
      <c r="D28" s="20" t="n">
        <v>2000</v>
      </c>
      <c r="E28" s="19" t="n">
        <f aca="false">D28</f>
        <v>2000</v>
      </c>
      <c r="F28" s="9" t="s">
        <v>55</v>
      </c>
      <c r="G28" s="12" t="s">
        <v>70</v>
      </c>
    </row>
    <row r="29" customFormat="false" ht="15" hidden="false" customHeight="false" outlineLevel="0" collapsed="false">
      <c r="A29" s="7" t="s">
        <v>78</v>
      </c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A30" s="9" t="s">
        <v>79</v>
      </c>
      <c r="B30" s="9" t="s">
        <v>80</v>
      </c>
      <c r="C30" s="10" t="n">
        <f aca="false">D30</f>
        <v>0</v>
      </c>
      <c r="D30" s="11" t="n">
        <v>0</v>
      </c>
      <c r="E30" s="10" t="n">
        <f aca="false">D30</f>
        <v>0</v>
      </c>
      <c r="F30" s="9" t="s">
        <v>25</v>
      </c>
      <c r="G30" s="12" t="s">
        <v>81</v>
      </c>
    </row>
    <row r="31" customFormat="false" ht="15" hidden="false" customHeight="false" outlineLevel="0" collapsed="false">
      <c r="A31" s="9" t="s">
        <v>82</v>
      </c>
      <c r="B31" s="9" t="s">
        <v>83</v>
      </c>
      <c r="C31" s="16" t="n">
        <f aca="false">D31</f>
        <v>1</v>
      </c>
      <c r="D31" s="13" t="n">
        <v>1</v>
      </c>
      <c r="E31" s="16" t="n">
        <f aca="false">D31</f>
        <v>1</v>
      </c>
      <c r="F31" s="9" t="s">
        <v>55</v>
      </c>
      <c r="G31" s="12" t="s">
        <v>84</v>
      </c>
    </row>
    <row r="32" customFormat="false" ht="15" hidden="false" customHeight="false" outlineLevel="0" collapsed="false">
      <c r="A32" s="9" t="s">
        <v>85</v>
      </c>
      <c r="B32" s="9" t="s">
        <v>86</v>
      </c>
      <c r="C32" s="10" t="n">
        <f aca="false">D32</f>
        <v>1200</v>
      </c>
      <c r="D32" s="18" t="n">
        <v>1200</v>
      </c>
      <c r="E32" s="10" t="n">
        <f aca="false">D32</f>
        <v>1200</v>
      </c>
      <c r="F32" s="9" t="s">
        <v>55</v>
      </c>
      <c r="G32" s="12" t="s">
        <v>70</v>
      </c>
    </row>
    <row r="33" customFormat="false" ht="15" hidden="false" customHeight="false" outlineLevel="0" collapsed="false">
      <c r="A33" s="9" t="s">
        <v>87</v>
      </c>
      <c r="B33" s="9" t="s">
        <v>86</v>
      </c>
      <c r="C33" s="10" t="n">
        <f aca="false">D33</f>
        <v>250</v>
      </c>
      <c r="D33" s="18" t="n">
        <v>250</v>
      </c>
      <c r="E33" s="10" t="n">
        <f aca="false">D33</f>
        <v>250</v>
      </c>
      <c r="F33" s="9" t="s">
        <v>55</v>
      </c>
      <c r="G33" s="12" t="s">
        <v>70</v>
      </c>
    </row>
    <row r="34" customFormat="false" ht="23.85" hidden="false" customHeight="false" outlineLevel="0" collapsed="false">
      <c r="A34" s="9" t="s">
        <v>88</v>
      </c>
      <c r="B34" s="9" t="s">
        <v>89</v>
      </c>
      <c r="C34" s="21" t="n">
        <f aca="false">D34</f>
        <v>3</v>
      </c>
      <c r="D34" s="22" t="n">
        <v>3</v>
      </c>
      <c r="E34" s="21" t="n">
        <f aca="false">D34</f>
        <v>3</v>
      </c>
      <c r="F34" s="9" t="s">
        <v>90</v>
      </c>
      <c r="G34" s="12" t="s">
        <v>91</v>
      </c>
    </row>
    <row r="35" customFormat="false" ht="15" hidden="false" customHeight="false" outlineLevel="0" collapsed="false">
      <c r="A35" s="9" t="s">
        <v>92</v>
      </c>
      <c r="B35" s="9" t="s">
        <v>89</v>
      </c>
      <c r="C35" s="21" t="n">
        <f aca="false">D35</f>
        <v>15</v>
      </c>
      <c r="D35" s="22" t="n">
        <v>15</v>
      </c>
      <c r="E35" s="21" t="n">
        <f aca="false">D35</f>
        <v>15</v>
      </c>
      <c r="F35" s="9" t="s">
        <v>90</v>
      </c>
      <c r="G35" s="12" t="s">
        <v>93</v>
      </c>
    </row>
    <row r="36" customFormat="false" ht="15" hidden="false" customHeight="false" outlineLevel="0" collapsed="false">
      <c r="A36" s="9" t="s">
        <v>94</v>
      </c>
      <c r="B36" s="9" t="s">
        <v>95</v>
      </c>
      <c r="C36" s="21" t="n">
        <f aca="false">D36</f>
        <v>85</v>
      </c>
      <c r="D36" s="22" t="n">
        <v>85</v>
      </c>
      <c r="E36" s="21" t="n">
        <f aca="false">D36</f>
        <v>85</v>
      </c>
      <c r="F36" s="9" t="s">
        <v>90</v>
      </c>
      <c r="G36" s="12" t="s">
        <v>96</v>
      </c>
    </row>
    <row r="37" customFormat="false" ht="15" hidden="false" customHeight="false" outlineLevel="0" collapsed="false">
      <c r="A37" s="7" t="s">
        <v>97</v>
      </c>
      <c r="B37" s="8"/>
      <c r="C37" s="8"/>
      <c r="D37" s="8"/>
      <c r="E37" s="8"/>
      <c r="F37" s="8"/>
      <c r="G37" s="8"/>
    </row>
    <row r="38" customFormat="false" ht="15" hidden="false" customHeight="false" outlineLevel="0" collapsed="false">
      <c r="A38" s="9" t="s">
        <v>98</v>
      </c>
      <c r="B38" s="9" t="s">
        <v>32</v>
      </c>
      <c r="C38" s="16" t="n">
        <f aca="false">D38</f>
        <v>0.2</v>
      </c>
      <c r="D38" s="13" t="n">
        <v>0.2</v>
      </c>
      <c r="E38" s="16" t="n">
        <f aca="false">D38</f>
        <v>0.2</v>
      </c>
      <c r="F38" s="9" t="s">
        <v>29</v>
      </c>
      <c r="G38" s="12" t="s">
        <v>99</v>
      </c>
    </row>
    <row r="39" customFormat="false" ht="23.85" hidden="false" customHeight="false" outlineLevel="0" collapsed="false">
      <c r="A39" s="9" t="s">
        <v>100</v>
      </c>
      <c r="B39" s="9" t="s">
        <v>101</v>
      </c>
      <c r="C39" s="16" t="n">
        <f aca="false">D39</f>
        <v>0.015</v>
      </c>
      <c r="D39" s="13" t="n">
        <v>0.015</v>
      </c>
      <c r="E39" s="16" t="n">
        <f aca="false">D39</f>
        <v>0.015</v>
      </c>
      <c r="F39" s="9" t="s">
        <v>29</v>
      </c>
      <c r="G39" s="12" t="s">
        <v>102</v>
      </c>
    </row>
    <row r="40" customFormat="false" ht="15" hidden="false" customHeight="false" outlineLevel="0" collapsed="false">
      <c r="A40" s="9" t="s">
        <v>103</v>
      </c>
      <c r="B40" s="9" t="s">
        <v>66</v>
      </c>
      <c r="C40" s="19" t="n">
        <f aca="false">D40</f>
        <v>1000</v>
      </c>
      <c r="D40" s="20" t="n">
        <v>1000</v>
      </c>
      <c r="E40" s="19" t="n">
        <f aca="false">D40</f>
        <v>1000</v>
      </c>
      <c r="F40" s="9" t="s">
        <v>55</v>
      </c>
      <c r="G40" s="12" t="s">
        <v>70</v>
      </c>
    </row>
    <row r="41" customFormat="false" ht="15" hidden="false" customHeight="false" outlineLevel="0" collapsed="false">
      <c r="A41" s="9" t="s">
        <v>104</v>
      </c>
      <c r="B41" s="9" t="s">
        <v>66</v>
      </c>
      <c r="C41" s="19" t="n">
        <f aca="false">D41</f>
        <v>499</v>
      </c>
      <c r="D41" s="20" t="n">
        <v>499</v>
      </c>
      <c r="E41" s="19" t="n">
        <f aca="false">D41</f>
        <v>499</v>
      </c>
      <c r="F41" s="9" t="s">
        <v>55</v>
      </c>
      <c r="G41" s="12" t="s">
        <v>70</v>
      </c>
    </row>
    <row r="42" customFormat="false" ht="15" hidden="false" customHeight="false" outlineLevel="0" collapsed="false">
      <c r="A42" s="9" t="s">
        <v>105</v>
      </c>
      <c r="B42" s="9" t="s">
        <v>42</v>
      </c>
      <c r="C42" s="16" t="n">
        <f aca="false">D42</f>
        <v>0.03</v>
      </c>
      <c r="D42" s="13" t="n">
        <v>0.03</v>
      </c>
      <c r="E42" s="16" t="n">
        <f aca="false">D42</f>
        <v>0.03</v>
      </c>
      <c r="F42" s="9" t="s">
        <v>29</v>
      </c>
      <c r="G42" s="12" t="s">
        <v>106</v>
      </c>
    </row>
    <row r="43" customFormat="false" ht="15" hidden="false" customHeight="false" outlineLevel="0" collapsed="false">
      <c r="A43" s="9" t="s">
        <v>107</v>
      </c>
      <c r="B43" s="9" t="s">
        <v>108</v>
      </c>
      <c r="C43" s="16" t="n">
        <f aca="false">D43</f>
        <v>0.4</v>
      </c>
      <c r="D43" s="13" t="n">
        <v>0.4</v>
      </c>
      <c r="E43" s="16" t="n">
        <f aca="false">D43</f>
        <v>0.4</v>
      </c>
      <c r="F43" s="9" t="s">
        <v>29</v>
      </c>
      <c r="G43" s="12" t="s">
        <v>109</v>
      </c>
    </row>
    <row r="44" customFormat="false" ht="15" hidden="false" customHeight="false" outlineLevel="0" collapsed="false">
      <c r="A44" s="9" t="s">
        <v>110</v>
      </c>
      <c r="B44" s="9" t="s">
        <v>111</v>
      </c>
      <c r="C44" s="16" t="n">
        <f aca="false">D44</f>
        <v>0.02</v>
      </c>
      <c r="D44" s="13" t="n">
        <v>0.02</v>
      </c>
      <c r="E44" s="16" t="n">
        <f aca="false">D44</f>
        <v>0.02</v>
      </c>
      <c r="F44" s="9" t="s">
        <v>55</v>
      </c>
      <c r="G44" s="12" t="s">
        <v>70</v>
      </c>
    </row>
    <row r="45" customFormat="false" ht="15" hidden="false" customHeight="false" outlineLevel="0" collapsed="false">
      <c r="A45" s="9" t="s">
        <v>112</v>
      </c>
      <c r="B45" s="9" t="s">
        <v>113</v>
      </c>
      <c r="C45" s="16" t="n">
        <f aca="false">D45</f>
        <v>0.7</v>
      </c>
      <c r="D45" s="13" t="n">
        <v>0.7</v>
      </c>
      <c r="E45" s="16" t="n">
        <f aca="false">D45</f>
        <v>0.7</v>
      </c>
      <c r="F45" s="9" t="s">
        <v>55</v>
      </c>
      <c r="G45" s="12" t="s">
        <v>114</v>
      </c>
    </row>
    <row r="46" customFormat="false" ht="23.85" hidden="false" customHeight="false" outlineLevel="0" collapsed="false">
      <c r="A46" s="9" t="s">
        <v>115</v>
      </c>
      <c r="B46" s="9" t="s">
        <v>116</v>
      </c>
      <c r="C46" s="19" t="n">
        <f aca="false">D46</f>
        <v>0</v>
      </c>
      <c r="D46" s="20" t="n">
        <v>0</v>
      </c>
      <c r="E46" s="19" t="n">
        <f aca="false">D46</f>
        <v>0</v>
      </c>
      <c r="F46" s="9" t="s">
        <v>55</v>
      </c>
      <c r="G46" s="1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5" min="3" style="0" width="15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4" t="s">
        <v>118</v>
      </c>
    </row>
    <row r="3" customFormat="false" ht="15" hidden="false" customHeight="false" outlineLevel="0" collapsed="false">
      <c r="A3" s="6" t="s">
        <v>119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120</v>
      </c>
    </row>
    <row r="4" customFormat="false" ht="15" hidden="false" customHeight="false" outlineLevel="0" collapsed="false">
      <c r="A4" s="9" t="s">
        <v>121</v>
      </c>
      <c r="B4" s="9" t="s">
        <v>24</v>
      </c>
      <c r="C4" s="23" t="n">
        <f aca="false">Assumptions!$C$6*Assumptions!$C$7</f>
        <v>1500</v>
      </c>
      <c r="D4" s="23" t="n">
        <f aca="false">Assumptions!$D$6*Assumptions!$D$7</f>
        <v>2000</v>
      </c>
      <c r="E4" s="23" t="n">
        <f aca="false">Assumptions!$E$6*Assumptions!$E$7</f>
        <v>2500</v>
      </c>
      <c r="F4" s="9" t="s">
        <v>122</v>
      </c>
    </row>
    <row r="5" customFormat="false" ht="15" hidden="false" customHeight="false" outlineLevel="0" collapsed="false">
      <c r="A5" s="9" t="s">
        <v>123</v>
      </c>
      <c r="B5" s="9" t="s">
        <v>24</v>
      </c>
      <c r="C5" s="23" t="n">
        <f aca="false">C4*Assumptions!$C$8</f>
        <v>1050</v>
      </c>
      <c r="D5" s="23" t="n">
        <f aca="false">D4*Assumptions!$D$8</f>
        <v>1600</v>
      </c>
      <c r="E5" s="23" t="n">
        <f aca="false">E4*Assumptions!$E$8</f>
        <v>2250</v>
      </c>
      <c r="F5" s="9" t="s">
        <v>124</v>
      </c>
    </row>
    <row r="6" customFormat="false" ht="15" hidden="false" customHeight="false" outlineLevel="0" collapsed="false">
      <c r="A6" s="9" t="s">
        <v>125</v>
      </c>
      <c r="B6" s="9" t="s">
        <v>38</v>
      </c>
      <c r="C6" s="23" t="n">
        <f aca="false">C5*Assumptions!$C$10</f>
        <v>2625</v>
      </c>
      <c r="D6" s="23" t="n">
        <f aca="false">D5*Assumptions!$D$10</f>
        <v>4000</v>
      </c>
      <c r="E6" s="23" t="n">
        <f aca="false">E5*Assumptions!$E$10</f>
        <v>5625</v>
      </c>
      <c r="F6" s="9" t="s">
        <v>126</v>
      </c>
    </row>
    <row r="7" customFormat="false" ht="15" hidden="false" customHeight="false" outlineLevel="0" collapsed="false">
      <c r="A7" s="9" t="s">
        <v>127</v>
      </c>
      <c r="B7" s="9" t="s">
        <v>24</v>
      </c>
      <c r="C7" s="23" t="n">
        <f aca="false">C5*Assumptions!$C$12</f>
        <v>262.5</v>
      </c>
      <c r="D7" s="23" t="n">
        <f aca="false">D5*Assumptions!$D$12</f>
        <v>480</v>
      </c>
      <c r="E7" s="23" t="n">
        <f aca="false">E5*Assumptions!$E$12</f>
        <v>787.5</v>
      </c>
      <c r="F7" s="9" t="s">
        <v>128</v>
      </c>
    </row>
    <row r="8" customFormat="false" ht="15" hidden="false" customHeight="false" outlineLevel="0" collapsed="false">
      <c r="A8" s="9" t="s">
        <v>129</v>
      </c>
      <c r="B8" s="9" t="s">
        <v>24</v>
      </c>
      <c r="C8" s="23" t="n">
        <f aca="false">C7*Assumptions!$C$13</f>
        <v>157.5</v>
      </c>
      <c r="D8" s="23" t="n">
        <f aca="false">D7*Assumptions!$D$13</f>
        <v>326.4</v>
      </c>
      <c r="E8" s="23" t="n">
        <f aca="false">E7*Assumptions!$E$13</f>
        <v>567</v>
      </c>
      <c r="F8" s="9" t="s">
        <v>130</v>
      </c>
    </row>
    <row r="9" customFormat="false" ht="15" hidden="false" customHeight="false" outlineLevel="0" collapsed="false">
      <c r="A9" s="9" t="s">
        <v>131</v>
      </c>
      <c r="B9" s="9" t="s">
        <v>24</v>
      </c>
      <c r="C9" s="23" t="n">
        <f aca="false">C8*Assumptions!$C$14</f>
        <v>86.625</v>
      </c>
      <c r="D9" s="23" t="n">
        <f aca="false">D8*Assumptions!$D$14</f>
        <v>205.632</v>
      </c>
      <c r="E9" s="23" t="n">
        <f aca="false">E8*Assumptions!$E$14</f>
        <v>396.9</v>
      </c>
      <c r="F9" s="9" t="s">
        <v>132</v>
      </c>
    </row>
    <row r="10" customFormat="false" ht="15" hidden="false" customHeight="false" outlineLevel="0" collapsed="false">
      <c r="A10" s="9" t="s">
        <v>133</v>
      </c>
      <c r="B10" s="9" t="s">
        <v>42</v>
      </c>
      <c r="C10" s="16" t="n">
        <f aca="false">IF(C5=0,0,C9/C5)</f>
        <v>0.0825</v>
      </c>
      <c r="D10" s="16" t="n">
        <f aca="false">IF(D5=0,0,D9/D5)</f>
        <v>0.12852</v>
      </c>
      <c r="E10" s="16" t="n">
        <f aca="false">IF(E5=0,0,E9/E5)</f>
        <v>0.1764</v>
      </c>
      <c r="F10" s="9" t="s">
        <v>134</v>
      </c>
    </row>
    <row r="11" customFormat="false" ht="15" hidden="false" customHeight="false" outlineLevel="0" collapsed="false">
      <c r="A11" s="9" t="s">
        <v>135</v>
      </c>
      <c r="B11" s="9" t="s">
        <v>24</v>
      </c>
      <c r="C11" s="23" t="n">
        <f aca="false">C5*Assumptions!$C$15</f>
        <v>63</v>
      </c>
      <c r="D11" s="23" t="n">
        <f aca="false">D5*Assumptions!$D$15</f>
        <v>80</v>
      </c>
      <c r="E11" s="23" t="n">
        <f aca="false">E5*Assumptions!$E$15</f>
        <v>90</v>
      </c>
      <c r="F11" s="9" t="s">
        <v>136</v>
      </c>
    </row>
    <row r="12" customFormat="false" ht="15" hidden="false" customHeight="false" outlineLevel="0" collapsed="false">
      <c r="A12" s="9" t="s">
        <v>137</v>
      </c>
      <c r="B12" s="9" t="s">
        <v>24</v>
      </c>
      <c r="C12" s="14" t="n">
        <f aca="false">C9-C11</f>
        <v>23.625</v>
      </c>
      <c r="D12" s="14" t="n">
        <f aca="false">D9-D11</f>
        <v>125.632</v>
      </c>
      <c r="E12" s="14" t="n">
        <f aca="false">E9-E11</f>
        <v>306.9</v>
      </c>
      <c r="F12" s="9" t="s">
        <v>138</v>
      </c>
    </row>
    <row r="13" customFormat="false" ht="15" hidden="false" customHeight="false" outlineLevel="0" collapsed="false">
      <c r="A13" s="9" t="s">
        <v>139</v>
      </c>
      <c r="B13" s="9" t="s">
        <v>113</v>
      </c>
      <c r="C13" s="16" t="n">
        <f aca="false">IF(C9=0,0,C12/C9)</f>
        <v>0.272727272727273</v>
      </c>
      <c r="D13" s="16" t="n">
        <f aca="false">IF(D9=0,0,D12/D9)</f>
        <v>0.610955493308435</v>
      </c>
      <c r="E13" s="16" t="n">
        <f aca="false">IF(E9=0,0,E12/E9)</f>
        <v>0.773242630385488</v>
      </c>
      <c r="F13" s="9" t="s">
        <v>140</v>
      </c>
    </row>
    <row r="14" customFormat="false" ht="15" hidden="false" customHeight="false" outlineLevel="0" collapsed="false">
      <c r="A14" s="9" t="s">
        <v>141</v>
      </c>
      <c r="B14" s="9" t="s">
        <v>113</v>
      </c>
      <c r="C14" s="16" t="n">
        <f aca="false">IF(C11=0,0,C9/C11-1)</f>
        <v>0.375</v>
      </c>
      <c r="D14" s="16" t="n">
        <f aca="false">IF(D11=0,0,D9/D11-1)</f>
        <v>1.5704</v>
      </c>
      <c r="E14" s="16" t="n">
        <f aca="false">IF(E11=0,0,E9/E11-1)</f>
        <v>3.41</v>
      </c>
      <c r="F14" s="9" t="s">
        <v>142</v>
      </c>
    </row>
    <row r="16" customFormat="false" ht="15" hidden="false" customHeight="false" outlineLevel="0" collapsed="false">
      <c r="A16" s="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5" min="3" style="0" width="16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4" t="s">
        <v>144</v>
      </c>
    </row>
    <row r="3" customFormat="false" ht="15" hidden="false" customHeight="false" outlineLevel="0" collapsed="false">
      <c r="A3" s="6" t="s">
        <v>145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146</v>
      </c>
    </row>
    <row r="4" customFormat="false" ht="15" hidden="false" customHeight="false" outlineLevel="0" collapsed="false">
      <c r="A4" s="7" t="s">
        <v>147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72</v>
      </c>
      <c r="B5" s="9" t="s">
        <v>73</v>
      </c>
      <c r="C5" s="24" t="n">
        <f aca="false">Assumptions!$C$25</f>
        <v>6000</v>
      </c>
      <c r="D5" s="24" t="n">
        <f aca="false">Assumptions!$D$25</f>
        <v>6000</v>
      </c>
      <c r="E5" s="24" t="n">
        <f aca="false">Assumptions!$E$25</f>
        <v>6000</v>
      </c>
      <c r="F5" s="9" t="s">
        <v>148</v>
      </c>
    </row>
    <row r="6" customFormat="false" ht="15" hidden="false" customHeight="false" outlineLevel="0" collapsed="false">
      <c r="A6" s="9" t="s">
        <v>74</v>
      </c>
      <c r="B6" s="9" t="s">
        <v>73</v>
      </c>
      <c r="C6" s="24" t="n">
        <f aca="false">Assumptions!$C$26</f>
        <v>4000</v>
      </c>
      <c r="D6" s="24" t="n">
        <f aca="false">Assumptions!$D$26</f>
        <v>4000</v>
      </c>
      <c r="E6" s="24" t="n">
        <f aca="false">Assumptions!$E$26</f>
        <v>4000</v>
      </c>
      <c r="F6" s="9" t="s">
        <v>148</v>
      </c>
    </row>
    <row r="7" customFormat="false" ht="15" hidden="false" customHeight="false" outlineLevel="0" collapsed="false">
      <c r="A7" s="9" t="s">
        <v>75</v>
      </c>
      <c r="B7" s="9" t="s">
        <v>73</v>
      </c>
      <c r="C7" s="24" t="n">
        <f aca="false">Assumptions!$C$27</f>
        <v>25000</v>
      </c>
      <c r="D7" s="24" t="n">
        <f aca="false">Assumptions!$D$27</f>
        <v>25000</v>
      </c>
      <c r="E7" s="24" t="n">
        <f aca="false">Assumptions!$E$27</f>
        <v>25000</v>
      </c>
      <c r="F7" s="9" t="s">
        <v>149</v>
      </c>
    </row>
    <row r="8" customFormat="false" ht="15" hidden="false" customHeight="false" outlineLevel="0" collapsed="false">
      <c r="A8" s="9" t="s">
        <v>77</v>
      </c>
      <c r="B8" s="9" t="s">
        <v>73</v>
      </c>
      <c r="C8" s="24" t="n">
        <f aca="false">Assumptions!$C$28</f>
        <v>2000</v>
      </c>
      <c r="D8" s="24" t="n">
        <f aca="false">Assumptions!$D$28</f>
        <v>2000</v>
      </c>
      <c r="E8" s="24" t="n">
        <f aca="false">Assumptions!$E$28</f>
        <v>2000</v>
      </c>
      <c r="F8" s="9" t="s">
        <v>148</v>
      </c>
    </row>
    <row r="9" customFormat="false" ht="15" hidden="false" customHeight="false" outlineLevel="0" collapsed="false">
      <c r="A9" s="25" t="s">
        <v>150</v>
      </c>
      <c r="B9" s="9" t="s">
        <v>73</v>
      </c>
      <c r="C9" s="26" t="n">
        <f aca="false">SUM(C5:C8)</f>
        <v>37000</v>
      </c>
      <c r="D9" s="26" t="n">
        <f aca="false">SUM(D5:D8)</f>
        <v>37000</v>
      </c>
      <c r="E9" s="26" t="n">
        <f aca="false">SUM(E5:E8)</f>
        <v>37000</v>
      </c>
      <c r="F9" s="9" t="s">
        <v>151</v>
      </c>
    </row>
    <row r="10" customFormat="false" ht="15" hidden="false" customHeight="false" outlineLevel="0" collapsed="false">
      <c r="A10" s="7" t="s">
        <v>152</v>
      </c>
      <c r="B10" s="8"/>
      <c r="C10" s="8"/>
      <c r="D10" s="8"/>
      <c r="E10" s="8"/>
      <c r="F10" s="8"/>
    </row>
    <row r="11" customFormat="false" ht="15" hidden="false" customHeight="false" outlineLevel="0" collapsed="false">
      <c r="A11" s="9" t="s">
        <v>153</v>
      </c>
      <c r="B11" s="9" t="s">
        <v>154</v>
      </c>
      <c r="C11" s="27" t="n">
        <f aca="false">(Assumptions!$C$32/1000000*Assumptions!$C$34+Assumptions!$C$33/1000000*Assumptions!$C$35)*Assumptions!$C$36</f>
        <v>0.62475</v>
      </c>
      <c r="D11" s="27" t="n">
        <f aca="false">(Assumptions!$D$32/1000000*Assumptions!$D$34+Assumptions!$D$33/1000000*Assumptions!$D$35)*Assumptions!$D$36</f>
        <v>0.62475</v>
      </c>
      <c r="E11" s="27" t="n">
        <f aca="false">(Assumptions!$E$32/1000000*Assumptions!$E$34+Assumptions!$E$33/1000000*Assumptions!$E$35)*Assumptions!$E$36</f>
        <v>0.62475</v>
      </c>
      <c r="F11" s="9" t="s">
        <v>155</v>
      </c>
    </row>
    <row r="12" customFormat="false" ht="15" hidden="false" customHeight="false" outlineLevel="0" collapsed="false">
      <c r="A12" s="9" t="s">
        <v>156</v>
      </c>
      <c r="B12" s="9" t="s">
        <v>157</v>
      </c>
      <c r="C12" s="14" t="n">
        <f aca="false">'Adoption funnel'!C6*Assumptions!$C$31*Assumptions!$C$30</f>
        <v>0</v>
      </c>
      <c r="D12" s="14" t="n">
        <f aca="false">'Adoption funnel'!D6*Assumptions!$D$31*Assumptions!$D$30</f>
        <v>0</v>
      </c>
      <c r="E12" s="14" t="n">
        <f aca="false">'Adoption funnel'!E6*Assumptions!$E$31*Assumptions!$E$30</f>
        <v>0</v>
      </c>
      <c r="F12" s="9" t="s">
        <v>158</v>
      </c>
    </row>
    <row r="13" customFormat="false" ht="15" hidden="false" customHeight="false" outlineLevel="0" collapsed="false">
      <c r="A13" s="9" t="s">
        <v>159</v>
      </c>
      <c r="B13" s="9" t="s">
        <v>73</v>
      </c>
      <c r="C13" s="19" t="n">
        <f aca="false">C11*C12</f>
        <v>0</v>
      </c>
      <c r="D13" s="19" t="n">
        <f aca="false">D11*D12</f>
        <v>0</v>
      </c>
      <c r="E13" s="19" t="n">
        <f aca="false">E11*E12</f>
        <v>0</v>
      </c>
      <c r="F13" s="9" t="s">
        <v>160</v>
      </c>
    </row>
    <row r="14" customFormat="false" ht="15" hidden="false" customHeight="false" outlineLevel="0" collapsed="false">
      <c r="A14" s="25" t="s">
        <v>161</v>
      </c>
      <c r="B14" s="9" t="s">
        <v>73</v>
      </c>
      <c r="C14" s="26" t="n">
        <f aca="false">C9+C13</f>
        <v>37000</v>
      </c>
      <c r="D14" s="26" t="n">
        <f aca="false">D9+D13</f>
        <v>37000</v>
      </c>
      <c r="E14" s="26" t="n">
        <f aca="false">E9+E13</f>
        <v>37000</v>
      </c>
      <c r="F14" s="9" t="s">
        <v>162</v>
      </c>
    </row>
    <row r="15" customFormat="false" ht="15" hidden="false" customHeight="false" outlineLevel="0" collapsed="false">
      <c r="A15" s="7" t="s">
        <v>163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9" t="s">
        <v>164</v>
      </c>
      <c r="B16" s="9" t="s">
        <v>165</v>
      </c>
      <c r="C16" s="28" t="n">
        <f aca="false">IF('Adoption funnel'!C4=0,0,C14/'Adoption funnel'!C4)</f>
        <v>24.6666666666667</v>
      </c>
      <c r="D16" s="28" t="n">
        <f aca="false">IF('Adoption funnel'!D4=0,0,D14/'Adoption funnel'!D4)</f>
        <v>18.5</v>
      </c>
      <c r="E16" s="28" t="n">
        <f aca="false">IF('Adoption funnel'!E4=0,0,E14/'Adoption funnel'!E4)</f>
        <v>14.8</v>
      </c>
      <c r="F16" s="9" t="s">
        <v>166</v>
      </c>
    </row>
    <row r="17" customFormat="false" ht="15" hidden="false" customHeight="false" outlineLevel="0" collapsed="false">
      <c r="A17" s="9" t="s">
        <v>167</v>
      </c>
      <c r="B17" s="9" t="s">
        <v>168</v>
      </c>
      <c r="C17" s="28" t="n">
        <f aca="false">IF('Adoption funnel'!C5=0,0,C14/'Adoption funnel'!C5)</f>
        <v>35.2380952380952</v>
      </c>
      <c r="D17" s="28" t="n">
        <f aca="false">IF('Adoption funnel'!D5=0,0,D14/'Adoption funnel'!D5)</f>
        <v>23.125</v>
      </c>
      <c r="E17" s="28" t="n">
        <f aca="false">IF('Adoption funnel'!E5=0,0,E14/'Adoption funnel'!E5)</f>
        <v>16.4444444444444</v>
      </c>
      <c r="F17" s="9" t="s">
        <v>169</v>
      </c>
    </row>
    <row r="18" customFormat="false" ht="15" hidden="false" customHeight="false" outlineLevel="0" collapsed="false">
      <c r="A18" s="9" t="s">
        <v>170</v>
      </c>
      <c r="B18" s="9" t="s">
        <v>171</v>
      </c>
      <c r="C18" s="28" t="n">
        <f aca="false">IF('Adoption funnel'!C9=0,0,C14/'Adoption funnel'!C9)</f>
        <v>427.128427128427</v>
      </c>
      <c r="D18" s="28" t="n">
        <f aca="false">IF('Adoption funnel'!D9=0,0,D14/'Adoption funnel'!D9)</f>
        <v>179.933084344849</v>
      </c>
      <c r="E18" s="28" t="n">
        <f aca="false">IF('Adoption funnel'!E9=0,0,E14/'Adoption funnel'!E9)</f>
        <v>93.2224741748551</v>
      </c>
      <c r="F18" s="9" t="s">
        <v>172</v>
      </c>
    </row>
    <row r="19" customFormat="false" ht="15" hidden="false" customHeight="false" outlineLevel="0" collapsed="false">
      <c r="A19" s="9" t="s">
        <v>173</v>
      </c>
      <c r="B19" s="9" t="s">
        <v>171</v>
      </c>
      <c r="C19" s="28" t="n">
        <f aca="false">IF('Adoption funnel'!C12&lt;=0,0,C14/'Adoption funnel'!C12)</f>
        <v>1566.13756613757</v>
      </c>
      <c r="D19" s="28" t="n">
        <f aca="false">IF('Adoption funnel'!D12&lt;=0,0,D14/'Adoption funnel'!D12)</f>
        <v>294.510952623535</v>
      </c>
      <c r="E19" s="28" t="n">
        <f aca="false">IF('Adoption funnel'!E12&lt;=0,0,E14/'Adoption funnel'!E12)</f>
        <v>120.560443141088</v>
      </c>
      <c r="F19" s="9" t="s">
        <v>174</v>
      </c>
    </row>
    <row r="20" customFormat="false" ht="15" hidden="false" customHeight="false" outlineLevel="0" collapsed="false">
      <c r="A20" s="7" t="s">
        <v>175</v>
      </c>
      <c r="B20" s="8"/>
      <c r="C20" s="8"/>
      <c r="D20" s="8"/>
      <c r="E20" s="8"/>
      <c r="F20" s="8"/>
    </row>
    <row r="21" customFormat="false" ht="15" hidden="false" customHeight="false" outlineLevel="0" collapsed="false">
      <c r="A21" s="9" t="s">
        <v>176</v>
      </c>
      <c r="B21" s="9" t="s">
        <v>113</v>
      </c>
      <c r="C21" s="16" t="n">
        <f aca="false">IF(C14=0,0,C9/C14)</f>
        <v>1</v>
      </c>
      <c r="D21" s="16" t="n">
        <f aca="false">IF(D14=0,0,D9/D14)</f>
        <v>1</v>
      </c>
      <c r="E21" s="16" t="n">
        <f aca="false">IF(E14=0,0,E9/E14)</f>
        <v>1</v>
      </c>
      <c r="F21" s="9" t="s">
        <v>177</v>
      </c>
    </row>
    <row r="22" customFormat="false" ht="15" hidden="false" customHeight="false" outlineLevel="0" collapsed="false">
      <c r="A22" s="9" t="s">
        <v>178</v>
      </c>
      <c r="B22" s="9" t="s">
        <v>113</v>
      </c>
      <c r="C22" s="16" t="n">
        <f aca="false">IF(C14=0,0,C13/C14)</f>
        <v>0</v>
      </c>
      <c r="D22" s="16" t="n">
        <f aca="false">IF(D14=0,0,D13/D14)</f>
        <v>0</v>
      </c>
      <c r="E22" s="16" t="n">
        <f aca="false">IF(E14=0,0,E13/E14)</f>
        <v>0</v>
      </c>
      <c r="F22" s="9" t="s">
        <v>179</v>
      </c>
    </row>
    <row r="24" customFormat="false" ht="15" hidden="false" customHeight="false" outlineLevel="0" collapsed="false">
      <c r="A24" s="9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7" min="3" style="0" width="15"/>
    <col collapsed="false" customWidth="true" hidden="false" outlineLevel="0" max="8" min="8" style="0" width="3"/>
    <col collapsed="false" customWidth="true" hidden="false" outlineLevel="0" max="14" min="9" style="0" width="15"/>
    <col collapsed="false" customWidth="true" hidden="false" outlineLevel="0" max="15" min="15" style="0" width="3"/>
    <col collapsed="false" customWidth="true" hidden="false" outlineLevel="0" max="21" min="16" style="0" width="15"/>
    <col collapsed="false" customWidth="true" hidden="false" outlineLevel="0" max="22" min="22" style="0" width="3"/>
  </cols>
  <sheetData>
    <row r="1" customFormat="false" ht="17.35" hidden="false" customHeight="false" outlineLevel="0" collapsed="false">
      <c r="A1" s="4" t="s">
        <v>181</v>
      </c>
    </row>
    <row r="2" customFormat="false" ht="15" hidden="false" customHeight="false" outlineLevel="0" collapsed="false">
      <c r="A2" s="5" t="s">
        <v>182</v>
      </c>
    </row>
    <row r="3" customFormat="false" ht="15" hidden="false" customHeight="false" outlineLevel="0" collapsed="false">
      <c r="B3" s="29" t="s">
        <v>17</v>
      </c>
      <c r="I3" s="29" t="s">
        <v>18</v>
      </c>
      <c r="P3" s="29" t="s">
        <v>19</v>
      </c>
    </row>
    <row r="4" customFormat="false" ht="66" hidden="false" customHeight="true" outlineLevel="0" collapsed="false">
      <c r="A4" s="30" t="s">
        <v>183</v>
      </c>
      <c r="B4" s="6" t="s">
        <v>184</v>
      </c>
      <c r="C4" s="6" t="s">
        <v>185</v>
      </c>
      <c r="D4" s="6" t="s">
        <v>186</v>
      </c>
      <c r="E4" s="6" t="s">
        <v>187</v>
      </c>
      <c r="F4" s="6" t="s">
        <v>188</v>
      </c>
      <c r="G4" s="6" t="s">
        <v>189</v>
      </c>
      <c r="I4" s="6" t="s">
        <v>184</v>
      </c>
      <c r="J4" s="6" t="s">
        <v>185</v>
      </c>
      <c r="K4" s="6" t="s">
        <v>186</v>
      </c>
      <c r="L4" s="6" t="s">
        <v>187</v>
      </c>
      <c r="M4" s="6" t="s">
        <v>188</v>
      </c>
      <c r="N4" s="6" t="s">
        <v>189</v>
      </c>
      <c r="P4" s="6" t="s">
        <v>184</v>
      </c>
      <c r="Q4" s="6" t="s">
        <v>185</v>
      </c>
      <c r="R4" s="6" t="s">
        <v>186</v>
      </c>
      <c r="S4" s="6" t="s">
        <v>187</v>
      </c>
      <c r="T4" s="6" t="s">
        <v>188</v>
      </c>
      <c r="U4" s="6" t="s">
        <v>189</v>
      </c>
    </row>
    <row r="5" customFormat="false" ht="15" hidden="false" customHeight="false" outlineLevel="0" collapsed="false">
      <c r="A5" s="10" t="n">
        <v>1</v>
      </c>
      <c r="B5" s="23" t="n">
        <f aca="false">IF($A5&lt;=Assumptions!$C$20,'Adoption funnel'!C5,0)</f>
        <v>1050</v>
      </c>
      <c r="C5" s="10" t="n">
        <f aca="false">IF($A5&lt;=Assumptions!$C$20,Assumptions!$C$20-$A5+1,0)</f>
        <v>12</v>
      </c>
      <c r="D5" s="10" t="n">
        <f aca="false">MAX(0,C5-Assumptions!$C$19)</f>
        <v>11</v>
      </c>
      <c r="E5" s="31" t="n">
        <f aca="false">IF(C5=0,0,IF((1-Assumptions!$C$17)=1,C5,(1-Assumptions!$C$17)*(1-(1-Assumptions!$C$17)^C5)/(1-(1-Assumptions!$C$17))))</f>
        <v>8.7331583344099</v>
      </c>
      <c r="F5" s="31" t="n">
        <f aca="false">IF(D5=0,0,IF((1-Assumptions!$C$17)=1,D5,(1-Assumptions!$C$17)*(1-(1-Assumptions!$C$17)^D5)/(1-(1-Assumptions!$C$17))))</f>
        <v>8.19279824674726</v>
      </c>
      <c r="G5" s="31" t="n">
        <f aca="false">IF(D5=0,0,IF((1-Assumptions!$C$18)=1,D5,(1-Assumptions!$C$18)*(1-(1-Assumptions!$C$18)^D5)/(1-(1-Assumptions!$C$18))))</f>
        <v>8.68225606675581</v>
      </c>
      <c r="I5" s="23" t="n">
        <f aca="false">IF($A5&lt;=Assumptions!$D$20,'Adoption funnel'!D5,0)</f>
        <v>1600</v>
      </c>
      <c r="J5" s="10" t="n">
        <f aca="false">IF($A5&lt;=Assumptions!$D$20,Assumptions!$D$20-$A5+1,0)</f>
        <v>12</v>
      </c>
      <c r="K5" s="10" t="n">
        <f aca="false">MAX(0,J5-Assumptions!$D$19)</f>
        <v>11</v>
      </c>
      <c r="L5" s="31" t="n">
        <f aca="false">IF(J5=0,0,IF((1-Assumptions!$D$17)=1,J5,(1-Assumptions!$D$17)*(1-(1-Assumptions!$D$17)^J5)/(1-(1-Assumptions!$D$17))))</f>
        <v>8.7331583344099</v>
      </c>
      <c r="M5" s="31" t="n">
        <f aca="false">IF(K5=0,0,IF((1-Assumptions!$D$17)=1,K5,(1-Assumptions!$D$17)*(1-(1-Assumptions!$D$17)^K5)/(1-(1-Assumptions!$D$17))))</f>
        <v>8.19279824674726</v>
      </c>
      <c r="N5" s="31" t="n">
        <f aca="false">IF(K5=0,0,IF((1-Assumptions!$D$18)=1,K5,(1-Assumptions!$D$18)*(1-(1-Assumptions!$D$18)^K5)/(1-(1-Assumptions!$D$18))))</f>
        <v>8.93941826433617</v>
      </c>
      <c r="P5" s="23" t="n">
        <f aca="false">IF($A5&lt;=Assumptions!$E$20,'Adoption funnel'!E5,0)</f>
        <v>2250</v>
      </c>
      <c r="Q5" s="10" t="n">
        <f aca="false">IF($A5&lt;=Assumptions!$E$20,Assumptions!$E$20-$A5+1,0)</f>
        <v>12</v>
      </c>
      <c r="R5" s="10" t="n">
        <f aca="false">MAX(0,Q5-Assumptions!$E$19)</f>
        <v>11</v>
      </c>
      <c r="S5" s="31" t="n">
        <f aca="false">IF(Q5=0,0,IF((1-Assumptions!$E$17)=1,Q5,(1-Assumptions!$E$17)*(1-(1-Assumptions!$E$17)^Q5)/(1-(1-Assumptions!$E$17))))</f>
        <v>8.7331583344099</v>
      </c>
      <c r="T5" s="31" t="n">
        <f aca="false">IF(R5=0,0,IF((1-Assumptions!$E$17)=1,R5,(1-Assumptions!$E$17)*(1-(1-Assumptions!$E$17)^R5)/(1-(1-Assumptions!$E$17))))</f>
        <v>8.19279824674726</v>
      </c>
      <c r="U5" s="31" t="n">
        <f aca="false">IF(R5=0,0,IF((1-Assumptions!$E$18)=1,R5,(1-Assumptions!$E$18)*(1-(1-Assumptions!$E$18)^R5)/(1-(1-Assumptions!$E$18))))</f>
        <v>9.2052546334854</v>
      </c>
    </row>
    <row r="6" customFormat="false" ht="15" hidden="false" customHeight="false" outlineLevel="0" collapsed="false">
      <c r="A6" s="10" t="n">
        <v>2</v>
      </c>
      <c r="B6" s="23" t="n">
        <f aca="false">IF($A6&lt;=Assumptions!$C$20,Assumptions!$C$6*Assumptions!$C$9*Assumptions!$C$8,0)</f>
        <v>52.5</v>
      </c>
      <c r="C6" s="10" t="n">
        <f aca="false">IF($A6&lt;=Assumptions!$C$20,Assumptions!$C$20-$A6+1,0)</f>
        <v>11</v>
      </c>
      <c r="D6" s="10" t="n">
        <f aca="false">MAX(0,C6-Assumptions!$C$19)</f>
        <v>10</v>
      </c>
      <c r="E6" s="31" t="n">
        <f aca="false">IF(C6=0,0,IF((1-Assumptions!$C$17)=1,C6,(1-Assumptions!$C$17)*(1-(1-Assumptions!$C$17)^C6)/(1-(1-Assumptions!$C$17))))</f>
        <v>8.19279824674726</v>
      </c>
      <c r="F6" s="31" t="n">
        <f aca="false">IF(D6=0,0,IF((1-Assumptions!$C$17)=1,D6,(1-Assumptions!$C$17)*(1-(1-Assumptions!$C$17)^D6)/(1-(1-Assumptions!$C$17))))</f>
        <v>7.6239981544708</v>
      </c>
      <c r="G6" s="31" t="n">
        <f aca="false">IF(D6=0,0,IF((1-Assumptions!$C$18)=1,D6,(1-Assumptions!$C$18)*(1-(1-Assumptions!$C$18)^D6)/(1-(1-Assumptions!$C$18))))</f>
        <v>8.04401673620397</v>
      </c>
      <c r="I6" s="23" t="n">
        <f aca="false">IF($A6&lt;=Assumptions!$D$20,Assumptions!$D$6*Assumptions!$D$9*Assumptions!$D$8,0)</f>
        <v>80</v>
      </c>
      <c r="J6" s="10" t="n">
        <f aca="false">IF($A6&lt;=Assumptions!$D$20,Assumptions!$D$20-$A6+1,0)</f>
        <v>11</v>
      </c>
      <c r="K6" s="10" t="n">
        <f aca="false">MAX(0,J6-Assumptions!$D$19)</f>
        <v>10</v>
      </c>
      <c r="L6" s="31" t="n">
        <f aca="false">IF(J6=0,0,IF((1-Assumptions!$D$17)=1,J6,(1-Assumptions!$D$17)*(1-(1-Assumptions!$D$17)^J6)/(1-(1-Assumptions!$D$17))))</f>
        <v>8.19279824674726</v>
      </c>
      <c r="M6" s="31" t="n">
        <f aca="false">IF(K6=0,0,IF((1-Assumptions!$D$17)=1,K6,(1-Assumptions!$D$17)*(1-(1-Assumptions!$D$17)^K6)/(1-(1-Assumptions!$D$17))))</f>
        <v>7.6239981544708</v>
      </c>
      <c r="N6" s="31" t="n">
        <f aca="false">IF(K6=0,0,IF((1-Assumptions!$D$18)=1,K6,(1-Assumptions!$D$18)*(1-(1-Assumptions!$D$18)^K6)/(1-(1-Assumptions!$D$18))))</f>
        <v>8.26364586977841</v>
      </c>
      <c r="P6" s="23" t="n">
        <f aca="false">IF($A6&lt;=Assumptions!$E$20,Assumptions!$E$6*Assumptions!$E$9*Assumptions!$E$8,0)</f>
        <v>135</v>
      </c>
      <c r="Q6" s="10" t="n">
        <f aca="false">IF($A6&lt;=Assumptions!$E$20,Assumptions!$E$20-$A6+1,0)</f>
        <v>11</v>
      </c>
      <c r="R6" s="10" t="n">
        <f aca="false">MAX(0,Q6-Assumptions!$E$19)</f>
        <v>10</v>
      </c>
      <c r="S6" s="31" t="n">
        <f aca="false">IF(Q6=0,0,IF((1-Assumptions!$E$17)=1,Q6,(1-Assumptions!$E$17)*(1-(1-Assumptions!$E$17)^Q6)/(1-(1-Assumptions!$E$17))))</f>
        <v>8.19279824674726</v>
      </c>
      <c r="T6" s="31" t="n">
        <f aca="false">IF(R6=0,0,IF((1-Assumptions!$E$17)=1,R6,(1-Assumptions!$E$17)*(1-(1-Assumptions!$E$17)^R6)/(1-(1-Assumptions!$E$17))))</f>
        <v>7.6239981544708</v>
      </c>
      <c r="U6" s="31" t="n">
        <f aca="false">IF(R6=0,0,IF((1-Assumptions!$E$18)=1,R6,(1-Assumptions!$E$18)*(1-(1-Assumptions!$E$18)^R6)/(1-(1-Assumptions!$E$18))))</f>
        <v>8.48995323039732</v>
      </c>
    </row>
    <row r="7" customFormat="false" ht="15" hidden="false" customHeight="false" outlineLevel="0" collapsed="false">
      <c r="A7" s="10" t="n">
        <v>3</v>
      </c>
      <c r="B7" s="23" t="n">
        <f aca="false">IF($A7&lt;=Assumptions!$C$20,Assumptions!$C$6*Assumptions!$C$9*Assumptions!$C$8,0)</f>
        <v>52.5</v>
      </c>
      <c r="C7" s="10" t="n">
        <f aca="false">IF($A7&lt;=Assumptions!$C$20,Assumptions!$C$20-$A7+1,0)</f>
        <v>10</v>
      </c>
      <c r="D7" s="10" t="n">
        <f aca="false">MAX(0,C7-Assumptions!$C$19)</f>
        <v>9</v>
      </c>
      <c r="E7" s="31" t="n">
        <f aca="false">IF(C7=0,0,IF((1-Assumptions!$C$17)=1,C7,(1-Assumptions!$C$17)*(1-(1-Assumptions!$C$17)^C7)/(1-(1-Assumptions!$C$17))))</f>
        <v>7.6239981544708</v>
      </c>
      <c r="F7" s="31" t="n">
        <f aca="false">IF(D7=0,0,IF((1-Assumptions!$C$17)=1,D7,(1-Assumptions!$C$17)*(1-(1-Assumptions!$C$17)^D7)/(1-(1-Assumptions!$C$17))))</f>
        <v>7.02526121523242</v>
      </c>
      <c r="G7" s="31" t="n">
        <f aca="false">IF(D7=0,0,IF((1-Assumptions!$C$18)=1,D7,(1-Assumptions!$C$18)*(1-(1-Assumptions!$C$18)^D7)/(1-(1-Assumptions!$C$18))))</f>
        <v>7.37918410021247</v>
      </c>
      <c r="I7" s="23" t="n">
        <f aca="false">IF($A7&lt;=Assumptions!$D$20,Assumptions!$D$6*Assumptions!$D$9*Assumptions!$D$8,0)</f>
        <v>80</v>
      </c>
      <c r="J7" s="10" t="n">
        <f aca="false">IF($A7&lt;=Assumptions!$D$20,Assumptions!$D$20-$A7+1,0)</f>
        <v>10</v>
      </c>
      <c r="K7" s="10" t="n">
        <f aca="false">MAX(0,J7-Assumptions!$D$19)</f>
        <v>9</v>
      </c>
      <c r="L7" s="31" t="n">
        <f aca="false">IF(J7=0,0,IF((1-Assumptions!$D$17)=1,J7,(1-Assumptions!$D$17)*(1-(1-Assumptions!$D$17)^J7)/(1-(1-Assumptions!$D$17))))</f>
        <v>7.6239981544708</v>
      </c>
      <c r="M7" s="31" t="n">
        <f aca="false">IF(K7=0,0,IF((1-Assumptions!$D$17)=1,K7,(1-Assumptions!$D$17)*(1-(1-Assumptions!$D$17)^K7)/(1-(1-Assumptions!$D$17))))</f>
        <v>7.02526121523242</v>
      </c>
      <c r="N7" s="31" t="n">
        <f aca="false">IF(K7=0,0,IF((1-Assumptions!$D$18)=1,K7,(1-Assumptions!$D$18)*(1-(1-Assumptions!$D$18)^K7)/(1-(1-Assumptions!$D$18))))</f>
        <v>7.5633635956253</v>
      </c>
      <c r="P7" s="23" t="n">
        <f aca="false">IF($A7&lt;=Assumptions!$E$20,Assumptions!$E$6*Assumptions!$E$9*Assumptions!$E$8,0)</f>
        <v>135</v>
      </c>
      <c r="Q7" s="10" t="n">
        <f aca="false">IF($A7&lt;=Assumptions!$E$20,Assumptions!$E$20-$A7+1,0)</f>
        <v>10</v>
      </c>
      <c r="R7" s="10" t="n">
        <f aca="false">MAX(0,Q7-Assumptions!$E$19)</f>
        <v>9</v>
      </c>
      <c r="S7" s="31" t="n">
        <f aca="false">IF(Q7=0,0,IF((1-Assumptions!$E$17)=1,Q7,(1-Assumptions!$E$17)*(1-(1-Assumptions!$E$17)^Q7)/(1-(1-Assumptions!$E$17))))</f>
        <v>7.6239981544708</v>
      </c>
      <c r="T7" s="31" t="n">
        <f aca="false">IF(R7=0,0,IF((1-Assumptions!$E$17)=1,R7,(1-Assumptions!$E$17)*(1-(1-Assumptions!$E$17)^R7)/(1-(1-Assumptions!$E$17))))</f>
        <v>7.02526121523242</v>
      </c>
      <c r="U7" s="31" t="n">
        <f aca="false">IF(R7=0,0,IF((1-Assumptions!$E$18)=1,R7,(1-Assumptions!$E$18)*(1-(1-Assumptions!$E$18)^R7)/(1-(1-Assumptions!$E$18))))</f>
        <v>7.75252910350239</v>
      </c>
    </row>
    <row r="8" customFormat="false" ht="15" hidden="false" customHeight="false" outlineLevel="0" collapsed="false">
      <c r="A8" s="10" t="n">
        <v>4</v>
      </c>
      <c r="B8" s="23" t="n">
        <f aca="false">IF($A8&lt;=Assumptions!$C$20,Assumptions!$C$6*Assumptions!$C$9*Assumptions!$C$8,0)</f>
        <v>52.5</v>
      </c>
      <c r="C8" s="10" t="n">
        <f aca="false">IF($A8&lt;=Assumptions!$C$20,Assumptions!$C$20-$A8+1,0)</f>
        <v>9</v>
      </c>
      <c r="D8" s="10" t="n">
        <f aca="false">MAX(0,C8-Assumptions!$C$19)</f>
        <v>8</v>
      </c>
      <c r="E8" s="31" t="n">
        <f aca="false">IF(C8=0,0,IF((1-Assumptions!$C$17)=1,C8,(1-Assumptions!$C$17)*(1-(1-Assumptions!$C$17)^C8)/(1-(1-Assumptions!$C$17))))</f>
        <v>7.02526121523242</v>
      </c>
      <c r="F8" s="31" t="n">
        <f aca="false">IF(D8=0,0,IF((1-Assumptions!$C$17)=1,D8,(1-Assumptions!$C$17)*(1-(1-Assumptions!$C$17)^D8)/(1-(1-Assumptions!$C$17))))</f>
        <v>6.39501180550781</v>
      </c>
      <c r="G8" s="31" t="n">
        <f aca="false">IF(D8=0,0,IF((1-Assumptions!$C$18)=1,D8,(1-Assumptions!$C$18)*(1-(1-Assumptions!$C$18)^D8)/(1-(1-Assumptions!$C$18))))</f>
        <v>6.68665010438799</v>
      </c>
      <c r="I8" s="23" t="n">
        <f aca="false">IF($A8&lt;=Assumptions!$D$20,Assumptions!$D$6*Assumptions!$D$9*Assumptions!$D$8,0)</f>
        <v>80</v>
      </c>
      <c r="J8" s="10" t="n">
        <f aca="false">IF($A8&lt;=Assumptions!$D$20,Assumptions!$D$20-$A8+1,0)</f>
        <v>9</v>
      </c>
      <c r="K8" s="10" t="n">
        <f aca="false">MAX(0,J8-Assumptions!$D$19)</f>
        <v>8</v>
      </c>
      <c r="L8" s="31" t="n">
        <f aca="false">IF(J8=0,0,IF((1-Assumptions!$D$17)=1,J8,(1-Assumptions!$D$17)*(1-(1-Assumptions!$D$17)^J8)/(1-(1-Assumptions!$D$17))))</f>
        <v>7.02526121523242</v>
      </c>
      <c r="M8" s="31" t="n">
        <f aca="false">IF(K8=0,0,IF((1-Assumptions!$D$17)=1,K8,(1-Assumptions!$D$17)*(1-(1-Assumptions!$D$17)^K8)/(1-(1-Assumptions!$D$17))))</f>
        <v>6.39501180550781</v>
      </c>
      <c r="N8" s="31" t="n">
        <f aca="false">IF(K8=0,0,IF((1-Assumptions!$D$18)=1,K8,(1-Assumptions!$D$18)*(1-(1-Assumptions!$D$18)^K8)/(1-(1-Assumptions!$D$18))))</f>
        <v>6.83768248251326</v>
      </c>
      <c r="P8" s="23" t="n">
        <f aca="false">IF($A8&lt;=Assumptions!$E$20,Assumptions!$E$6*Assumptions!$E$9*Assumptions!$E$8,0)</f>
        <v>135</v>
      </c>
      <c r="Q8" s="10" t="n">
        <f aca="false">IF($A8&lt;=Assumptions!$E$20,Assumptions!$E$20-$A8+1,0)</f>
        <v>9</v>
      </c>
      <c r="R8" s="10" t="n">
        <f aca="false">MAX(0,Q8-Assumptions!$E$19)</f>
        <v>8</v>
      </c>
      <c r="S8" s="31" t="n">
        <f aca="false">IF(Q8=0,0,IF((1-Assumptions!$E$17)=1,Q8,(1-Assumptions!$E$17)*(1-(1-Assumptions!$E$17)^Q8)/(1-(1-Assumptions!$E$17))))</f>
        <v>7.02526121523242</v>
      </c>
      <c r="T8" s="31" t="n">
        <f aca="false">IF(R8=0,0,IF((1-Assumptions!$E$17)=1,R8,(1-Assumptions!$E$17)*(1-(1-Assumptions!$E$17)^R8)/(1-(1-Assumptions!$E$17))))</f>
        <v>6.39501180550781</v>
      </c>
      <c r="U8" s="31" t="n">
        <f aca="false">IF(R8=0,0,IF((1-Assumptions!$E$18)=1,R8,(1-Assumptions!$E$18)*(1-(1-Assumptions!$E$18)^R8)/(1-(1-Assumptions!$E$18))))</f>
        <v>6.99229804484783</v>
      </c>
    </row>
    <row r="9" customFormat="false" ht="15" hidden="false" customHeight="false" outlineLevel="0" collapsed="false">
      <c r="A9" s="10" t="n">
        <v>5</v>
      </c>
      <c r="B9" s="23" t="n">
        <f aca="false">IF($A9&lt;=Assumptions!$C$20,Assumptions!$C$6*Assumptions!$C$9*Assumptions!$C$8,0)</f>
        <v>52.5</v>
      </c>
      <c r="C9" s="10" t="n">
        <f aca="false">IF($A9&lt;=Assumptions!$C$20,Assumptions!$C$20-$A9+1,0)</f>
        <v>8</v>
      </c>
      <c r="D9" s="10" t="n">
        <f aca="false">MAX(0,C9-Assumptions!$C$19)</f>
        <v>7</v>
      </c>
      <c r="E9" s="31" t="n">
        <f aca="false">IF(C9=0,0,IF((1-Assumptions!$C$17)=1,C9,(1-Assumptions!$C$17)*(1-(1-Assumptions!$C$17)^C9)/(1-(1-Assumptions!$C$17))))</f>
        <v>6.39501180550781</v>
      </c>
      <c r="F9" s="31" t="n">
        <f aca="false">IF(D9=0,0,IF((1-Assumptions!$C$17)=1,D9,(1-Assumptions!$C$17)*(1-(1-Assumptions!$C$17)^D9)/(1-(1-Assumptions!$C$17))))</f>
        <v>5.73159137421875</v>
      </c>
      <c r="G9" s="31" t="n">
        <f aca="false">IF(D9=0,0,IF((1-Assumptions!$C$18)=1,D9,(1-Assumptions!$C$18)*(1-(1-Assumptions!$C$18)^D9)/(1-(1-Assumptions!$C$18))))</f>
        <v>5.96526052540416</v>
      </c>
      <c r="I9" s="23" t="n">
        <f aca="false">IF($A9&lt;=Assumptions!$D$20,Assumptions!$D$6*Assumptions!$D$9*Assumptions!$D$8,0)</f>
        <v>80</v>
      </c>
      <c r="J9" s="10" t="n">
        <f aca="false">IF($A9&lt;=Assumptions!$D$20,Assumptions!$D$20-$A9+1,0)</f>
        <v>8</v>
      </c>
      <c r="K9" s="10" t="n">
        <f aca="false">MAX(0,J9-Assumptions!$D$19)</f>
        <v>7</v>
      </c>
      <c r="L9" s="31" t="n">
        <f aca="false">IF(J9=0,0,IF((1-Assumptions!$D$17)=1,J9,(1-Assumptions!$D$17)*(1-(1-Assumptions!$D$17)^J9)/(1-(1-Assumptions!$D$17))))</f>
        <v>6.39501180550781</v>
      </c>
      <c r="M9" s="31" t="n">
        <f aca="false">IF(K9=0,0,IF((1-Assumptions!$D$17)=1,K9,(1-Assumptions!$D$17)*(1-(1-Assumptions!$D$17)^K9)/(1-(1-Assumptions!$D$17))))</f>
        <v>5.73159137421875</v>
      </c>
      <c r="N9" s="31" t="n">
        <f aca="false">IF(K9=0,0,IF((1-Assumptions!$D$18)=1,K9,(1-Assumptions!$D$18)*(1-(1-Assumptions!$D$18)^K9)/(1-(1-Assumptions!$D$18))))</f>
        <v>6.08568132902929</v>
      </c>
      <c r="P9" s="23" t="n">
        <f aca="false">IF($A9&lt;=Assumptions!$E$20,Assumptions!$E$6*Assumptions!$E$9*Assumptions!$E$8,0)</f>
        <v>135</v>
      </c>
      <c r="Q9" s="10" t="n">
        <f aca="false">IF($A9&lt;=Assumptions!$E$20,Assumptions!$E$20-$A9+1,0)</f>
        <v>8</v>
      </c>
      <c r="R9" s="10" t="n">
        <f aca="false">MAX(0,Q9-Assumptions!$E$19)</f>
        <v>7</v>
      </c>
      <c r="S9" s="31" t="n">
        <f aca="false">IF(Q9=0,0,IF((1-Assumptions!$E$17)=1,Q9,(1-Assumptions!$E$17)*(1-(1-Assumptions!$E$17)^Q9)/(1-(1-Assumptions!$E$17))))</f>
        <v>6.39501180550781</v>
      </c>
      <c r="T9" s="31" t="n">
        <f aca="false">IF(R9=0,0,IF((1-Assumptions!$E$17)=1,R9,(1-Assumptions!$E$17)*(1-(1-Assumptions!$E$17)^R9)/(1-(1-Assumptions!$E$17))))</f>
        <v>5.73159137421875</v>
      </c>
      <c r="U9" s="31" t="n">
        <f aca="false">IF(R9=0,0,IF((1-Assumptions!$E$18)=1,R9,(1-Assumptions!$E$18)*(1-(1-Assumptions!$E$18)^R9)/(1-(1-Assumptions!$E$18))))</f>
        <v>6.20855468541013</v>
      </c>
    </row>
    <row r="10" customFormat="false" ht="15" hidden="false" customHeight="false" outlineLevel="0" collapsed="false">
      <c r="A10" s="10" t="n">
        <v>6</v>
      </c>
      <c r="B10" s="23" t="n">
        <f aca="false">IF($A10&lt;=Assumptions!$C$20,Assumptions!$C$6*Assumptions!$C$9*Assumptions!$C$8,0)</f>
        <v>52.5</v>
      </c>
      <c r="C10" s="10" t="n">
        <f aca="false">IF($A10&lt;=Assumptions!$C$20,Assumptions!$C$20-$A10+1,0)</f>
        <v>7</v>
      </c>
      <c r="D10" s="10" t="n">
        <f aca="false">MAX(0,C10-Assumptions!$C$19)</f>
        <v>6</v>
      </c>
      <c r="E10" s="31" t="n">
        <f aca="false">IF(C10=0,0,IF((1-Assumptions!$C$17)=1,C10,(1-Assumptions!$C$17)*(1-(1-Assumptions!$C$17)^C10)/(1-(1-Assumptions!$C$17))))</f>
        <v>5.73159137421875</v>
      </c>
      <c r="F10" s="31" t="n">
        <f aca="false">IF(D10=0,0,IF((1-Assumptions!$C$17)=1,D10,(1-Assumptions!$C$17)*(1-(1-Assumptions!$C$17)^D10)/(1-(1-Assumptions!$C$17))))</f>
        <v>5.033254078125</v>
      </c>
      <c r="G10" s="31" t="n">
        <f aca="false">IF(D10=0,0,IF((1-Assumptions!$C$18)=1,D10,(1-Assumptions!$C$18)*(1-(1-Assumptions!$C$18)^D10)/(1-(1-Assumptions!$C$18))))</f>
        <v>5.213813047296</v>
      </c>
      <c r="I10" s="23" t="n">
        <f aca="false">IF($A10&lt;=Assumptions!$D$20,Assumptions!$D$6*Assumptions!$D$9*Assumptions!$D$8,0)</f>
        <v>80</v>
      </c>
      <c r="J10" s="10" t="n">
        <f aca="false">IF($A10&lt;=Assumptions!$D$20,Assumptions!$D$20-$A10+1,0)</f>
        <v>7</v>
      </c>
      <c r="K10" s="10" t="n">
        <f aca="false">MAX(0,J10-Assumptions!$D$19)</f>
        <v>6</v>
      </c>
      <c r="L10" s="31" t="n">
        <f aca="false">IF(J10=0,0,IF((1-Assumptions!$D$17)=1,J10,(1-Assumptions!$D$17)*(1-(1-Assumptions!$D$17)^J10)/(1-(1-Assumptions!$D$17))))</f>
        <v>5.73159137421875</v>
      </c>
      <c r="M10" s="31" t="n">
        <f aca="false">IF(K10=0,0,IF((1-Assumptions!$D$17)=1,K10,(1-Assumptions!$D$17)*(1-(1-Assumptions!$D$17)^K10)/(1-(1-Assumptions!$D$17))))</f>
        <v>5.033254078125</v>
      </c>
      <c r="N10" s="31" t="n">
        <f aca="false">IF(K10=0,0,IF((1-Assumptions!$D$18)=1,K10,(1-Assumptions!$D$18)*(1-(1-Assumptions!$D$18)^K10)/(1-(1-Assumptions!$D$18))))</f>
        <v>5.30640552231014</v>
      </c>
      <c r="P10" s="23" t="n">
        <f aca="false">IF($A10&lt;=Assumptions!$E$20,Assumptions!$E$6*Assumptions!$E$9*Assumptions!$E$8,0)</f>
        <v>135</v>
      </c>
      <c r="Q10" s="10" t="n">
        <f aca="false">IF($A10&lt;=Assumptions!$E$20,Assumptions!$E$20-$A10+1,0)</f>
        <v>7</v>
      </c>
      <c r="R10" s="10" t="n">
        <f aca="false">MAX(0,Q10-Assumptions!$E$19)</f>
        <v>6</v>
      </c>
      <c r="S10" s="31" t="n">
        <f aca="false">IF(Q10=0,0,IF((1-Assumptions!$E$17)=1,Q10,(1-Assumptions!$E$17)*(1-(1-Assumptions!$E$17)^Q10)/(1-(1-Assumptions!$E$17))))</f>
        <v>5.73159137421875</v>
      </c>
      <c r="T10" s="31" t="n">
        <f aca="false">IF(R10=0,0,IF((1-Assumptions!$E$17)=1,R10,(1-Assumptions!$E$17)*(1-(1-Assumptions!$E$17)^R10)/(1-(1-Assumptions!$E$17))))</f>
        <v>5.033254078125</v>
      </c>
      <c r="U10" s="31" t="n">
        <f aca="false">IF(R10=0,0,IF((1-Assumptions!$E$18)=1,R10,(1-Assumptions!$E$18)*(1-(1-Assumptions!$E$18)^R10)/(1-(1-Assumptions!$E$18))))</f>
        <v>5.400571840629</v>
      </c>
    </row>
    <row r="11" customFormat="false" ht="15" hidden="false" customHeight="false" outlineLevel="0" collapsed="false">
      <c r="A11" s="10" t="n">
        <v>7</v>
      </c>
      <c r="B11" s="23" t="n">
        <f aca="false">IF($A11&lt;=Assumptions!$C$20,Assumptions!$C$6*Assumptions!$C$9*Assumptions!$C$8,0)</f>
        <v>52.5</v>
      </c>
      <c r="C11" s="10" t="n">
        <f aca="false">IF($A11&lt;=Assumptions!$C$20,Assumptions!$C$20-$A11+1,0)</f>
        <v>6</v>
      </c>
      <c r="D11" s="10" t="n">
        <f aca="false">MAX(0,C11-Assumptions!$C$19)</f>
        <v>5</v>
      </c>
      <c r="E11" s="31" t="n">
        <f aca="false">IF(C11=0,0,IF((1-Assumptions!$C$17)=1,C11,(1-Assumptions!$C$17)*(1-(1-Assumptions!$C$17)^C11)/(1-(1-Assumptions!$C$17))))</f>
        <v>5.033254078125</v>
      </c>
      <c r="F11" s="31" t="n">
        <f aca="false">IF(D11=0,0,IF((1-Assumptions!$C$17)=1,D11,(1-Assumptions!$C$17)*(1-(1-Assumptions!$C$17)^D11)/(1-(1-Assumptions!$C$17))))</f>
        <v>4.2981621875</v>
      </c>
      <c r="G11" s="31" t="n">
        <f aca="false">IF(D11=0,0,IF((1-Assumptions!$C$18)=1,D11,(1-Assumptions!$C$18)*(1-(1-Assumptions!$C$18)^D11)/(1-(1-Assumptions!$C$18))))</f>
        <v>4.4310552576</v>
      </c>
      <c r="I11" s="23" t="n">
        <f aca="false">IF($A11&lt;=Assumptions!$D$20,Assumptions!$D$6*Assumptions!$D$9*Assumptions!$D$8,0)</f>
        <v>80</v>
      </c>
      <c r="J11" s="10" t="n">
        <f aca="false">IF($A11&lt;=Assumptions!$D$20,Assumptions!$D$20-$A11+1,0)</f>
        <v>6</v>
      </c>
      <c r="K11" s="10" t="n">
        <f aca="false">MAX(0,J11-Assumptions!$D$19)</f>
        <v>5</v>
      </c>
      <c r="L11" s="31" t="n">
        <f aca="false">IF(J11=0,0,IF((1-Assumptions!$D$17)=1,J11,(1-Assumptions!$D$17)*(1-(1-Assumptions!$D$17)^J11)/(1-(1-Assumptions!$D$17))))</f>
        <v>5.033254078125</v>
      </c>
      <c r="M11" s="31" t="n">
        <f aca="false">IF(K11=0,0,IF((1-Assumptions!$D$17)=1,K11,(1-Assumptions!$D$17)*(1-(1-Assumptions!$D$17)^K11)/(1-(1-Assumptions!$D$17))))</f>
        <v>4.2981621875</v>
      </c>
      <c r="N11" s="31" t="n">
        <f aca="false">IF(K11=0,0,IF((1-Assumptions!$D$18)=1,K11,(1-Assumptions!$D$18)*(1-(1-Assumptions!$D$18)^K11)/(1-(1-Assumptions!$D$18))))</f>
        <v>4.49886582622812</v>
      </c>
      <c r="P11" s="23" t="n">
        <f aca="false">IF($A11&lt;=Assumptions!$E$20,Assumptions!$E$6*Assumptions!$E$9*Assumptions!$E$8,0)</f>
        <v>135</v>
      </c>
      <c r="Q11" s="10" t="n">
        <f aca="false">IF($A11&lt;=Assumptions!$E$20,Assumptions!$E$20-$A11+1,0)</f>
        <v>6</v>
      </c>
      <c r="R11" s="10" t="n">
        <f aca="false">MAX(0,Q11-Assumptions!$E$19)</f>
        <v>5</v>
      </c>
      <c r="S11" s="31" t="n">
        <f aca="false">IF(Q11=0,0,IF((1-Assumptions!$E$17)=1,Q11,(1-Assumptions!$E$17)*(1-(1-Assumptions!$E$17)^Q11)/(1-(1-Assumptions!$E$17))))</f>
        <v>5.033254078125</v>
      </c>
      <c r="T11" s="31" t="n">
        <f aca="false">IF(R11=0,0,IF((1-Assumptions!$E$17)=1,R11,(1-Assumptions!$E$17)*(1-(1-Assumptions!$E$17)^R11)/(1-(1-Assumptions!$E$17))))</f>
        <v>4.2981621875</v>
      </c>
      <c r="U11" s="31" t="n">
        <f aca="false">IF(R11=0,0,IF((1-Assumptions!$E$18)=1,R11,(1-Assumptions!$E$18)*(1-(1-Assumptions!$E$18)^R11)/(1-(1-Assumptions!$E$18))))</f>
        <v>4.5675998357</v>
      </c>
    </row>
    <row r="12" customFormat="false" ht="15" hidden="false" customHeight="false" outlineLevel="0" collapsed="false">
      <c r="A12" s="10" t="n">
        <v>8</v>
      </c>
      <c r="B12" s="23" t="n">
        <f aca="false">IF($A12&lt;=Assumptions!$C$20,Assumptions!$C$6*Assumptions!$C$9*Assumptions!$C$8,0)</f>
        <v>52.5</v>
      </c>
      <c r="C12" s="10" t="n">
        <f aca="false">IF($A12&lt;=Assumptions!$C$20,Assumptions!$C$20-$A12+1,0)</f>
        <v>5</v>
      </c>
      <c r="D12" s="10" t="n">
        <f aca="false">MAX(0,C12-Assumptions!$C$19)</f>
        <v>4</v>
      </c>
      <c r="E12" s="31" t="n">
        <f aca="false">IF(C12=0,0,IF((1-Assumptions!$C$17)=1,C12,(1-Assumptions!$C$17)*(1-(1-Assumptions!$C$17)^C12)/(1-(1-Assumptions!$C$17))))</f>
        <v>4.2981621875</v>
      </c>
      <c r="F12" s="31" t="n">
        <f aca="false">IF(D12=0,0,IF((1-Assumptions!$C$17)=1,D12,(1-Assumptions!$C$17)*(1-(1-Assumptions!$C$17)^D12)/(1-(1-Assumptions!$C$17))))</f>
        <v>3.52438125</v>
      </c>
      <c r="G12" s="31" t="n">
        <f aca="false">IF(D12=0,0,IF((1-Assumptions!$C$18)=1,D12,(1-Assumptions!$C$18)*(1-(1-Assumptions!$C$18)^D12)/(1-(1-Assumptions!$C$18))))</f>
        <v>3.61568256</v>
      </c>
      <c r="I12" s="23" t="n">
        <f aca="false">IF($A12&lt;=Assumptions!$D$20,Assumptions!$D$6*Assumptions!$D$9*Assumptions!$D$8,0)</f>
        <v>80</v>
      </c>
      <c r="J12" s="10" t="n">
        <f aca="false">IF($A12&lt;=Assumptions!$D$20,Assumptions!$D$20-$A12+1,0)</f>
        <v>5</v>
      </c>
      <c r="K12" s="10" t="n">
        <f aca="false">MAX(0,J12-Assumptions!$D$19)</f>
        <v>4</v>
      </c>
      <c r="L12" s="31" t="n">
        <f aca="false">IF(J12=0,0,IF((1-Assumptions!$D$17)=1,J12,(1-Assumptions!$D$17)*(1-(1-Assumptions!$D$17)^J12)/(1-(1-Assumptions!$D$17))))</f>
        <v>4.2981621875</v>
      </c>
      <c r="M12" s="31" t="n">
        <f aca="false">IF(K12=0,0,IF((1-Assumptions!$D$17)=1,K12,(1-Assumptions!$D$17)*(1-(1-Assumptions!$D$17)^K12)/(1-(1-Assumptions!$D$17))))</f>
        <v>3.52438125</v>
      </c>
      <c r="N12" s="31" t="n">
        <f aca="false">IF(K12=0,0,IF((1-Assumptions!$D$18)=1,K12,(1-Assumptions!$D$18)*(1-(1-Assumptions!$D$18)^K12)/(1-(1-Assumptions!$D$18))))</f>
        <v>3.662037125625</v>
      </c>
      <c r="P12" s="23" t="n">
        <f aca="false">IF($A12&lt;=Assumptions!$E$20,Assumptions!$E$6*Assumptions!$E$9*Assumptions!$E$8,0)</f>
        <v>135</v>
      </c>
      <c r="Q12" s="10" t="n">
        <f aca="false">IF($A12&lt;=Assumptions!$E$20,Assumptions!$E$20-$A12+1,0)</f>
        <v>5</v>
      </c>
      <c r="R12" s="10" t="n">
        <f aca="false">MAX(0,Q12-Assumptions!$E$19)</f>
        <v>4</v>
      </c>
      <c r="S12" s="31" t="n">
        <f aca="false">IF(Q12=0,0,IF((1-Assumptions!$E$17)=1,Q12,(1-Assumptions!$E$17)*(1-(1-Assumptions!$E$17)^Q12)/(1-(1-Assumptions!$E$17))))</f>
        <v>4.2981621875</v>
      </c>
      <c r="T12" s="31" t="n">
        <f aca="false">IF(R12=0,0,IF((1-Assumptions!$E$17)=1,R12,(1-Assumptions!$E$17)*(1-(1-Assumptions!$E$17)^R12)/(1-(1-Assumptions!$E$17))))</f>
        <v>3.52438125</v>
      </c>
      <c r="U12" s="31" t="n">
        <f aca="false">IF(R12=0,0,IF((1-Assumptions!$E$18)=1,R12,(1-Assumptions!$E$18)*(1-(1-Assumptions!$E$18)^R12)/(1-(1-Assumptions!$E$18))))</f>
        <v>3.70886581</v>
      </c>
    </row>
    <row r="13" customFormat="false" ht="15" hidden="false" customHeight="false" outlineLevel="0" collapsed="false">
      <c r="A13" s="10" t="n">
        <v>9</v>
      </c>
      <c r="B13" s="23" t="n">
        <f aca="false">IF($A13&lt;=Assumptions!$C$20,Assumptions!$C$6*Assumptions!$C$9*Assumptions!$C$8,0)</f>
        <v>52.5</v>
      </c>
      <c r="C13" s="10" t="n">
        <f aca="false">IF($A13&lt;=Assumptions!$C$20,Assumptions!$C$20-$A13+1,0)</f>
        <v>4</v>
      </c>
      <c r="D13" s="10" t="n">
        <f aca="false">MAX(0,C13-Assumptions!$C$19)</f>
        <v>3</v>
      </c>
      <c r="E13" s="31" t="n">
        <f aca="false">IF(C13=0,0,IF((1-Assumptions!$C$17)=1,C13,(1-Assumptions!$C$17)*(1-(1-Assumptions!$C$17)^C13)/(1-(1-Assumptions!$C$17))))</f>
        <v>3.52438125</v>
      </c>
      <c r="F13" s="31" t="n">
        <f aca="false">IF(D13=0,0,IF((1-Assumptions!$C$17)=1,D13,(1-Assumptions!$C$17)*(1-(1-Assumptions!$C$17)^D13)/(1-(1-Assumptions!$C$17))))</f>
        <v>2.709875</v>
      </c>
      <c r="G13" s="31" t="n">
        <f aca="false">IF(D13=0,0,IF((1-Assumptions!$C$18)=1,D13,(1-Assumptions!$C$18)*(1-(1-Assumptions!$C$18)^D13)/(1-(1-Assumptions!$C$18))))</f>
        <v>2.766336</v>
      </c>
      <c r="I13" s="23" t="n">
        <f aca="false">IF($A13&lt;=Assumptions!$D$20,Assumptions!$D$6*Assumptions!$D$9*Assumptions!$D$8,0)</f>
        <v>80</v>
      </c>
      <c r="J13" s="10" t="n">
        <f aca="false">IF($A13&lt;=Assumptions!$D$20,Assumptions!$D$20-$A13+1,0)</f>
        <v>4</v>
      </c>
      <c r="K13" s="10" t="n">
        <f aca="false">MAX(0,J13-Assumptions!$D$19)</f>
        <v>3</v>
      </c>
      <c r="L13" s="31" t="n">
        <f aca="false">IF(J13=0,0,IF((1-Assumptions!$D$17)=1,J13,(1-Assumptions!$D$17)*(1-(1-Assumptions!$D$17)^J13)/(1-(1-Assumptions!$D$17))))</f>
        <v>3.52438125</v>
      </c>
      <c r="M13" s="31" t="n">
        <f aca="false">IF(K13=0,0,IF((1-Assumptions!$D$17)=1,K13,(1-Assumptions!$D$17)*(1-(1-Assumptions!$D$17)^K13)/(1-(1-Assumptions!$D$17))))</f>
        <v>2.709875</v>
      </c>
      <c r="N13" s="31" t="n">
        <f aca="false">IF(K13=0,0,IF((1-Assumptions!$D$18)=1,K13,(1-Assumptions!$D$18)*(1-(1-Assumptions!$D$18)^K13)/(1-(1-Assumptions!$D$18))))</f>
        <v>2.794857125</v>
      </c>
      <c r="P13" s="23" t="n">
        <f aca="false">IF($A13&lt;=Assumptions!$E$20,Assumptions!$E$6*Assumptions!$E$9*Assumptions!$E$8,0)</f>
        <v>135</v>
      </c>
      <c r="Q13" s="10" t="n">
        <f aca="false">IF($A13&lt;=Assumptions!$E$20,Assumptions!$E$20-$A13+1,0)</f>
        <v>4</v>
      </c>
      <c r="R13" s="10" t="n">
        <f aca="false">MAX(0,Q13-Assumptions!$E$19)</f>
        <v>3</v>
      </c>
      <c r="S13" s="31" t="n">
        <f aca="false">IF(Q13=0,0,IF((1-Assumptions!$E$17)=1,Q13,(1-Assumptions!$E$17)*(1-(1-Assumptions!$E$17)^Q13)/(1-(1-Assumptions!$E$17))))</f>
        <v>3.52438125</v>
      </c>
      <c r="T13" s="31" t="n">
        <f aca="false">IF(R13=0,0,IF((1-Assumptions!$E$17)=1,R13,(1-Assumptions!$E$17)*(1-(1-Assumptions!$E$17)^R13)/(1-(1-Assumptions!$E$17))))</f>
        <v>2.709875</v>
      </c>
      <c r="U13" s="31" t="n">
        <f aca="false">IF(R13=0,0,IF((1-Assumptions!$E$18)=1,R13,(1-Assumptions!$E$18)*(1-(1-Assumptions!$E$18)^R13)/(1-(1-Assumptions!$E$18))))</f>
        <v>2.823573</v>
      </c>
    </row>
    <row r="14" customFormat="false" ht="15" hidden="false" customHeight="false" outlineLevel="0" collapsed="false">
      <c r="A14" s="10" t="n">
        <v>10</v>
      </c>
      <c r="B14" s="23" t="n">
        <f aca="false">IF($A14&lt;=Assumptions!$C$20,Assumptions!$C$6*Assumptions!$C$9*Assumptions!$C$8,0)</f>
        <v>52.5</v>
      </c>
      <c r="C14" s="10" t="n">
        <f aca="false">IF($A14&lt;=Assumptions!$C$20,Assumptions!$C$20-$A14+1,0)</f>
        <v>3</v>
      </c>
      <c r="D14" s="10" t="n">
        <f aca="false">MAX(0,C14-Assumptions!$C$19)</f>
        <v>2</v>
      </c>
      <c r="E14" s="31" t="n">
        <f aca="false">IF(C14=0,0,IF((1-Assumptions!$C$17)=1,C14,(1-Assumptions!$C$17)*(1-(1-Assumptions!$C$17)^C14)/(1-(1-Assumptions!$C$17))))</f>
        <v>2.709875</v>
      </c>
      <c r="F14" s="31" t="n">
        <f aca="false">IF(D14=0,0,IF((1-Assumptions!$C$17)=1,D14,(1-Assumptions!$C$17)*(1-(1-Assumptions!$C$17)^D14)/(1-(1-Assumptions!$C$17))))</f>
        <v>1.8525</v>
      </c>
      <c r="G14" s="31" t="n">
        <f aca="false">IF(D14=0,0,IF((1-Assumptions!$C$18)=1,D14,(1-Assumptions!$C$18)*(1-(1-Assumptions!$C$18)^D14)/(1-(1-Assumptions!$C$18))))</f>
        <v>1.8816</v>
      </c>
      <c r="I14" s="23" t="n">
        <f aca="false">IF($A14&lt;=Assumptions!$D$20,Assumptions!$D$6*Assumptions!$D$9*Assumptions!$D$8,0)</f>
        <v>80</v>
      </c>
      <c r="J14" s="10" t="n">
        <f aca="false">IF($A14&lt;=Assumptions!$D$20,Assumptions!$D$20-$A14+1,0)</f>
        <v>3</v>
      </c>
      <c r="K14" s="10" t="n">
        <f aca="false">MAX(0,J14-Assumptions!$D$19)</f>
        <v>2</v>
      </c>
      <c r="L14" s="31" t="n">
        <f aca="false">IF(J14=0,0,IF((1-Assumptions!$D$17)=1,J14,(1-Assumptions!$D$17)*(1-(1-Assumptions!$D$17)^J14)/(1-(1-Assumptions!$D$17))))</f>
        <v>2.709875</v>
      </c>
      <c r="M14" s="31" t="n">
        <f aca="false">IF(K14=0,0,IF((1-Assumptions!$D$17)=1,K14,(1-Assumptions!$D$17)*(1-(1-Assumptions!$D$17)^K14)/(1-(1-Assumptions!$D$17))))</f>
        <v>1.8525</v>
      </c>
      <c r="N14" s="31" t="n">
        <f aca="false">IF(K14=0,0,IF((1-Assumptions!$D$18)=1,K14,(1-Assumptions!$D$18)*(1-(1-Assumptions!$D$18)^K14)/(1-(1-Assumptions!$D$18))))</f>
        <v>1.896225</v>
      </c>
      <c r="P14" s="23" t="n">
        <f aca="false">IF($A14&lt;=Assumptions!$E$20,Assumptions!$E$6*Assumptions!$E$9*Assumptions!$E$8,0)</f>
        <v>135</v>
      </c>
      <c r="Q14" s="10" t="n">
        <f aca="false">IF($A14&lt;=Assumptions!$E$20,Assumptions!$E$20-$A14+1,0)</f>
        <v>3</v>
      </c>
      <c r="R14" s="10" t="n">
        <f aca="false">MAX(0,Q14-Assumptions!$E$19)</f>
        <v>2</v>
      </c>
      <c r="S14" s="31" t="n">
        <f aca="false">IF(Q14=0,0,IF((1-Assumptions!$E$17)=1,Q14,(1-Assumptions!$E$17)*(1-(1-Assumptions!$E$17)^Q14)/(1-(1-Assumptions!$E$17))))</f>
        <v>2.709875</v>
      </c>
      <c r="T14" s="31" t="n">
        <f aca="false">IF(R14=0,0,IF((1-Assumptions!$E$17)=1,R14,(1-Assumptions!$E$17)*(1-(1-Assumptions!$E$17)^R14)/(1-(1-Assumptions!$E$17))))</f>
        <v>1.8525</v>
      </c>
      <c r="U14" s="31" t="n">
        <f aca="false">IF(R14=0,0,IF((1-Assumptions!$E$18)=1,R14,(1-Assumptions!$E$18)*(1-(1-Assumptions!$E$18)^R14)/(1-(1-Assumptions!$E$18))))</f>
        <v>1.9109</v>
      </c>
    </row>
    <row r="15" customFormat="false" ht="15" hidden="false" customHeight="false" outlineLevel="0" collapsed="false">
      <c r="A15" s="10" t="n">
        <v>11</v>
      </c>
      <c r="B15" s="23" t="n">
        <f aca="false">IF($A15&lt;=Assumptions!$C$20,Assumptions!$C$6*Assumptions!$C$9*Assumptions!$C$8,0)</f>
        <v>52.5</v>
      </c>
      <c r="C15" s="10" t="n">
        <f aca="false">IF($A15&lt;=Assumptions!$C$20,Assumptions!$C$20-$A15+1,0)</f>
        <v>2</v>
      </c>
      <c r="D15" s="10" t="n">
        <f aca="false">MAX(0,C15-Assumptions!$C$19)</f>
        <v>1</v>
      </c>
      <c r="E15" s="31" t="n">
        <f aca="false">IF(C15=0,0,IF((1-Assumptions!$C$17)=1,C15,(1-Assumptions!$C$17)*(1-(1-Assumptions!$C$17)^C15)/(1-(1-Assumptions!$C$17))))</f>
        <v>1.8525</v>
      </c>
      <c r="F15" s="31" t="n">
        <f aca="false">IF(D15=0,0,IF((1-Assumptions!$C$17)=1,D15,(1-Assumptions!$C$17)*(1-(1-Assumptions!$C$17)^D15)/(1-(1-Assumptions!$C$17))))</f>
        <v>0.95</v>
      </c>
      <c r="G15" s="31" t="n">
        <f aca="false">IF(D15=0,0,IF((1-Assumptions!$C$18)=1,D15,(1-Assumptions!$C$18)*(1-(1-Assumptions!$C$18)^D15)/(1-(1-Assumptions!$C$18))))</f>
        <v>0.96</v>
      </c>
      <c r="I15" s="23" t="n">
        <f aca="false">IF($A15&lt;=Assumptions!$D$20,Assumptions!$D$6*Assumptions!$D$9*Assumptions!$D$8,0)</f>
        <v>80</v>
      </c>
      <c r="J15" s="10" t="n">
        <f aca="false">IF($A15&lt;=Assumptions!$D$20,Assumptions!$D$20-$A15+1,0)</f>
        <v>2</v>
      </c>
      <c r="K15" s="10" t="n">
        <f aca="false">MAX(0,J15-Assumptions!$D$19)</f>
        <v>1</v>
      </c>
      <c r="L15" s="31" t="n">
        <f aca="false">IF(J15=0,0,IF((1-Assumptions!$D$17)=1,J15,(1-Assumptions!$D$17)*(1-(1-Assumptions!$D$17)^J15)/(1-(1-Assumptions!$D$17))))</f>
        <v>1.8525</v>
      </c>
      <c r="M15" s="31" t="n">
        <f aca="false">IF(K15=0,0,IF((1-Assumptions!$D$17)=1,K15,(1-Assumptions!$D$17)*(1-(1-Assumptions!$D$17)^K15)/(1-(1-Assumptions!$D$17))))</f>
        <v>0.95</v>
      </c>
      <c r="N15" s="31" t="n">
        <f aca="false">IF(K15=0,0,IF((1-Assumptions!$D$18)=1,K15,(1-Assumptions!$D$18)*(1-(1-Assumptions!$D$18)^K15)/(1-(1-Assumptions!$D$18))))</f>
        <v>0.965</v>
      </c>
      <c r="P15" s="23" t="n">
        <f aca="false">IF($A15&lt;=Assumptions!$E$20,Assumptions!$E$6*Assumptions!$E$9*Assumptions!$E$8,0)</f>
        <v>135</v>
      </c>
      <c r="Q15" s="10" t="n">
        <f aca="false">IF($A15&lt;=Assumptions!$E$20,Assumptions!$E$20-$A15+1,0)</f>
        <v>2</v>
      </c>
      <c r="R15" s="10" t="n">
        <f aca="false">MAX(0,Q15-Assumptions!$E$19)</f>
        <v>1</v>
      </c>
      <c r="S15" s="31" t="n">
        <f aca="false">IF(Q15=0,0,IF((1-Assumptions!$E$17)=1,Q15,(1-Assumptions!$E$17)*(1-(1-Assumptions!$E$17)^Q15)/(1-(1-Assumptions!$E$17))))</f>
        <v>1.8525</v>
      </c>
      <c r="T15" s="31" t="n">
        <f aca="false">IF(R15=0,0,IF((1-Assumptions!$E$17)=1,R15,(1-Assumptions!$E$17)*(1-(1-Assumptions!$E$17)^R15)/(1-(1-Assumptions!$E$17))))</f>
        <v>0.95</v>
      </c>
      <c r="U15" s="31" t="n">
        <f aca="false">IF(R15=0,0,IF((1-Assumptions!$E$18)=1,R15,(1-Assumptions!$E$18)*(1-(1-Assumptions!$E$18)^R15)/(1-(1-Assumptions!$E$18))))</f>
        <v>0.97</v>
      </c>
    </row>
    <row r="16" customFormat="false" ht="15" hidden="false" customHeight="false" outlineLevel="0" collapsed="false">
      <c r="A16" s="10" t="n">
        <v>12</v>
      </c>
      <c r="B16" s="23" t="n">
        <f aca="false">IF($A16&lt;=Assumptions!$C$20,Assumptions!$C$6*Assumptions!$C$9*Assumptions!$C$8,0)</f>
        <v>52.5</v>
      </c>
      <c r="C16" s="10" t="n">
        <f aca="false">IF($A16&lt;=Assumptions!$C$20,Assumptions!$C$20-$A16+1,0)</f>
        <v>1</v>
      </c>
      <c r="D16" s="10" t="n">
        <f aca="false">MAX(0,C16-Assumptions!$C$19)</f>
        <v>0</v>
      </c>
      <c r="E16" s="31" t="n">
        <f aca="false">IF(C16=0,0,IF((1-Assumptions!$C$17)=1,C16,(1-Assumptions!$C$17)*(1-(1-Assumptions!$C$17)^C16)/(1-(1-Assumptions!$C$17))))</f>
        <v>0.95</v>
      </c>
      <c r="F16" s="31" t="n">
        <f aca="false">IF(D16=0,0,IF((1-Assumptions!$C$17)=1,D16,(1-Assumptions!$C$17)*(1-(1-Assumptions!$C$17)^D16)/(1-(1-Assumptions!$C$17))))</f>
        <v>0</v>
      </c>
      <c r="G16" s="31" t="n">
        <f aca="false">IF(D16=0,0,IF((1-Assumptions!$C$18)=1,D16,(1-Assumptions!$C$18)*(1-(1-Assumptions!$C$18)^D16)/(1-(1-Assumptions!$C$18))))</f>
        <v>0</v>
      </c>
      <c r="I16" s="23" t="n">
        <f aca="false">IF($A16&lt;=Assumptions!$D$20,Assumptions!$D$6*Assumptions!$D$9*Assumptions!$D$8,0)</f>
        <v>80</v>
      </c>
      <c r="J16" s="10" t="n">
        <f aca="false">IF($A16&lt;=Assumptions!$D$20,Assumptions!$D$20-$A16+1,0)</f>
        <v>1</v>
      </c>
      <c r="K16" s="10" t="n">
        <f aca="false">MAX(0,J16-Assumptions!$D$19)</f>
        <v>0</v>
      </c>
      <c r="L16" s="31" t="n">
        <f aca="false">IF(J16=0,0,IF((1-Assumptions!$D$17)=1,J16,(1-Assumptions!$D$17)*(1-(1-Assumptions!$D$17)^J16)/(1-(1-Assumptions!$D$17))))</f>
        <v>0.95</v>
      </c>
      <c r="M16" s="31" t="n">
        <f aca="false">IF(K16=0,0,IF((1-Assumptions!$D$17)=1,K16,(1-Assumptions!$D$17)*(1-(1-Assumptions!$D$17)^K16)/(1-(1-Assumptions!$D$17))))</f>
        <v>0</v>
      </c>
      <c r="N16" s="31" t="n">
        <f aca="false">IF(K16=0,0,IF((1-Assumptions!$D$18)=1,K16,(1-Assumptions!$D$18)*(1-(1-Assumptions!$D$18)^K16)/(1-(1-Assumptions!$D$18))))</f>
        <v>0</v>
      </c>
      <c r="P16" s="23" t="n">
        <f aca="false">IF($A16&lt;=Assumptions!$E$20,Assumptions!$E$6*Assumptions!$E$9*Assumptions!$E$8,0)</f>
        <v>135</v>
      </c>
      <c r="Q16" s="10" t="n">
        <f aca="false">IF($A16&lt;=Assumptions!$E$20,Assumptions!$E$20-$A16+1,0)</f>
        <v>1</v>
      </c>
      <c r="R16" s="10" t="n">
        <f aca="false">MAX(0,Q16-Assumptions!$E$19)</f>
        <v>0</v>
      </c>
      <c r="S16" s="31" t="n">
        <f aca="false">IF(Q16=0,0,IF((1-Assumptions!$E$17)=1,Q16,(1-Assumptions!$E$17)*(1-(1-Assumptions!$E$17)^Q16)/(1-(1-Assumptions!$E$17))))</f>
        <v>0.95</v>
      </c>
      <c r="T16" s="31" t="n">
        <f aca="false">IF(R16=0,0,IF((1-Assumptions!$E$17)=1,R16,(1-Assumptions!$E$17)*(1-(1-Assumptions!$E$17)^R16)/(1-(1-Assumptions!$E$17))))</f>
        <v>0</v>
      </c>
      <c r="U16" s="31" t="n">
        <f aca="false">IF(R16=0,0,IF((1-Assumptions!$E$18)=1,R16,(1-Assumptions!$E$18)*(1-(1-Assumptions!$E$18)^R16)/(1-(1-Assumptions!$E$18))))</f>
        <v>0</v>
      </c>
    </row>
    <row r="17" customFormat="false" ht="15" hidden="false" customHeight="false" outlineLevel="0" collapsed="false">
      <c r="A17" s="10" t="n">
        <v>13</v>
      </c>
      <c r="B17" s="23" t="n">
        <f aca="false">IF($A17&lt;=Assumptions!$C$20,Assumptions!$C$6*Assumptions!$C$9*Assumptions!$C$8,0)</f>
        <v>0</v>
      </c>
      <c r="C17" s="10" t="n">
        <f aca="false">IF($A17&lt;=Assumptions!$C$20,Assumptions!$C$20-$A17+1,0)</f>
        <v>0</v>
      </c>
      <c r="D17" s="10" t="n">
        <f aca="false">MAX(0,C17-Assumptions!$C$19)</f>
        <v>0</v>
      </c>
      <c r="E17" s="31" t="n">
        <f aca="false">IF(C17=0,0,IF((1-Assumptions!$C$17)=1,C17,(1-Assumptions!$C$17)*(1-(1-Assumptions!$C$17)^C17)/(1-(1-Assumptions!$C$17))))</f>
        <v>0</v>
      </c>
      <c r="F17" s="31" t="n">
        <f aca="false">IF(D17=0,0,IF((1-Assumptions!$C$17)=1,D17,(1-Assumptions!$C$17)*(1-(1-Assumptions!$C$17)^D17)/(1-(1-Assumptions!$C$17))))</f>
        <v>0</v>
      </c>
      <c r="G17" s="31" t="n">
        <f aca="false">IF(D17=0,0,IF((1-Assumptions!$C$18)=1,D17,(1-Assumptions!$C$18)*(1-(1-Assumptions!$C$18)^D17)/(1-(1-Assumptions!$C$18))))</f>
        <v>0</v>
      </c>
      <c r="I17" s="23" t="n">
        <f aca="false">IF($A17&lt;=Assumptions!$D$20,Assumptions!$D$6*Assumptions!$D$9*Assumptions!$D$8,0)</f>
        <v>0</v>
      </c>
      <c r="J17" s="10" t="n">
        <f aca="false">IF($A17&lt;=Assumptions!$D$20,Assumptions!$D$20-$A17+1,0)</f>
        <v>0</v>
      </c>
      <c r="K17" s="10" t="n">
        <f aca="false">MAX(0,J17-Assumptions!$D$19)</f>
        <v>0</v>
      </c>
      <c r="L17" s="31" t="n">
        <f aca="false">IF(J17=0,0,IF((1-Assumptions!$D$17)=1,J17,(1-Assumptions!$D$17)*(1-(1-Assumptions!$D$17)^J17)/(1-(1-Assumptions!$D$17))))</f>
        <v>0</v>
      </c>
      <c r="M17" s="31" t="n">
        <f aca="false">IF(K17=0,0,IF((1-Assumptions!$D$17)=1,K17,(1-Assumptions!$D$17)*(1-(1-Assumptions!$D$17)^K17)/(1-(1-Assumptions!$D$17))))</f>
        <v>0</v>
      </c>
      <c r="N17" s="31" t="n">
        <f aca="false">IF(K17=0,0,IF((1-Assumptions!$D$18)=1,K17,(1-Assumptions!$D$18)*(1-(1-Assumptions!$D$18)^K17)/(1-(1-Assumptions!$D$18))))</f>
        <v>0</v>
      </c>
      <c r="P17" s="23" t="n">
        <f aca="false">IF($A17&lt;=Assumptions!$E$20,Assumptions!$E$6*Assumptions!$E$9*Assumptions!$E$8,0)</f>
        <v>0</v>
      </c>
      <c r="Q17" s="10" t="n">
        <f aca="false">IF($A17&lt;=Assumptions!$E$20,Assumptions!$E$20-$A17+1,0)</f>
        <v>0</v>
      </c>
      <c r="R17" s="10" t="n">
        <f aca="false">MAX(0,Q17-Assumptions!$E$19)</f>
        <v>0</v>
      </c>
      <c r="S17" s="31" t="n">
        <f aca="false">IF(Q17=0,0,IF((1-Assumptions!$E$17)=1,Q17,(1-Assumptions!$E$17)*(1-(1-Assumptions!$E$17)^Q17)/(1-(1-Assumptions!$E$17))))</f>
        <v>0</v>
      </c>
      <c r="T17" s="31" t="n">
        <f aca="false">IF(R17=0,0,IF((1-Assumptions!$E$17)=1,R17,(1-Assumptions!$E$17)*(1-(1-Assumptions!$E$17)^R17)/(1-(1-Assumptions!$E$17))))</f>
        <v>0</v>
      </c>
      <c r="U17" s="31" t="n">
        <f aca="false">IF(R17=0,0,IF((1-Assumptions!$E$18)=1,R17,(1-Assumptions!$E$18)*(1-(1-Assumptions!$E$18)^R17)/(1-(1-Assumptions!$E$18))))</f>
        <v>0</v>
      </c>
    </row>
    <row r="18" customFormat="false" ht="15" hidden="false" customHeight="false" outlineLevel="0" collapsed="false">
      <c r="A18" s="10" t="n">
        <v>14</v>
      </c>
      <c r="B18" s="23" t="n">
        <f aca="false">IF($A18&lt;=Assumptions!$C$20,Assumptions!$C$6*Assumptions!$C$9*Assumptions!$C$8,0)</f>
        <v>0</v>
      </c>
      <c r="C18" s="10" t="n">
        <f aca="false">IF($A18&lt;=Assumptions!$C$20,Assumptions!$C$20-$A18+1,0)</f>
        <v>0</v>
      </c>
      <c r="D18" s="10" t="n">
        <f aca="false">MAX(0,C18-Assumptions!$C$19)</f>
        <v>0</v>
      </c>
      <c r="E18" s="31" t="n">
        <f aca="false">IF(C18=0,0,IF((1-Assumptions!$C$17)=1,C18,(1-Assumptions!$C$17)*(1-(1-Assumptions!$C$17)^C18)/(1-(1-Assumptions!$C$17))))</f>
        <v>0</v>
      </c>
      <c r="F18" s="31" t="n">
        <f aca="false">IF(D18=0,0,IF((1-Assumptions!$C$17)=1,D18,(1-Assumptions!$C$17)*(1-(1-Assumptions!$C$17)^D18)/(1-(1-Assumptions!$C$17))))</f>
        <v>0</v>
      </c>
      <c r="G18" s="31" t="n">
        <f aca="false">IF(D18=0,0,IF((1-Assumptions!$C$18)=1,D18,(1-Assumptions!$C$18)*(1-(1-Assumptions!$C$18)^D18)/(1-(1-Assumptions!$C$18))))</f>
        <v>0</v>
      </c>
      <c r="I18" s="23" t="n">
        <f aca="false">IF($A18&lt;=Assumptions!$D$20,Assumptions!$D$6*Assumptions!$D$9*Assumptions!$D$8,0)</f>
        <v>0</v>
      </c>
      <c r="J18" s="10" t="n">
        <f aca="false">IF($A18&lt;=Assumptions!$D$20,Assumptions!$D$20-$A18+1,0)</f>
        <v>0</v>
      </c>
      <c r="K18" s="10" t="n">
        <f aca="false">MAX(0,J18-Assumptions!$D$19)</f>
        <v>0</v>
      </c>
      <c r="L18" s="31" t="n">
        <f aca="false">IF(J18=0,0,IF((1-Assumptions!$D$17)=1,J18,(1-Assumptions!$D$17)*(1-(1-Assumptions!$D$17)^J18)/(1-(1-Assumptions!$D$17))))</f>
        <v>0</v>
      </c>
      <c r="M18" s="31" t="n">
        <f aca="false">IF(K18=0,0,IF((1-Assumptions!$D$17)=1,K18,(1-Assumptions!$D$17)*(1-(1-Assumptions!$D$17)^K18)/(1-(1-Assumptions!$D$17))))</f>
        <v>0</v>
      </c>
      <c r="N18" s="31" t="n">
        <f aca="false">IF(K18=0,0,IF((1-Assumptions!$D$18)=1,K18,(1-Assumptions!$D$18)*(1-(1-Assumptions!$D$18)^K18)/(1-(1-Assumptions!$D$18))))</f>
        <v>0</v>
      </c>
      <c r="P18" s="23" t="n">
        <f aca="false">IF($A18&lt;=Assumptions!$E$20,Assumptions!$E$6*Assumptions!$E$9*Assumptions!$E$8,0)</f>
        <v>0</v>
      </c>
      <c r="Q18" s="10" t="n">
        <f aca="false">IF($A18&lt;=Assumptions!$E$20,Assumptions!$E$20-$A18+1,0)</f>
        <v>0</v>
      </c>
      <c r="R18" s="10" t="n">
        <f aca="false">MAX(0,Q18-Assumptions!$E$19)</f>
        <v>0</v>
      </c>
      <c r="S18" s="31" t="n">
        <f aca="false">IF(Q18=0,0,IF((1-Assumptions!$E$17)=1,Q18,(1-Assumptions!$E$17)*(1-(1-Assumptions!$E$17)^Q18)/(1-(1-Assumptions!$E$17))))</f>
        <v>0</v>
      </c>
      <c r="T18" s="31" t="n">
        <f aca="false">IF(R18=0,0,IF((1-Assumptions!$E$17)=1,R18,(1-Assumptions!$E$17)*(1-(1-Assumptions!$E$17)^R18)/(1-(1-Assumptions!$E$17))))</f>
        <v>0</v>
      </c>
      <c r="U18" s="31" t="n">
        <f aca="false">IF(R18=0,0,IF((1-Assumptions!$E$18)=1,R18,(1-Assumptions!$E$18)*(1-(1-Assumptions!$E$18)^R18)/(1-(1-Assumptions!$E$18))))</f>
        <v>0</v>
      </c>
    </row>
    <row r="19" customFormat="false" ht="15" hidden="false" customHeight="false" outlineLevel="0" collapsed="false">
      <c r="A19" s="10" t="n">
        <v>15</v>
      </c>
      <c r="B19" s="23" t="n">
        <f aca="false">IF($A19&lt;=Assumptions!$C$20,Assumptions!$C$6*Assumptions!$C$9*Assumptions!$C$8,0)</f>
        <v>0</v>
      </c>
      <c r="C19" s="10" t="n">
        <f aca="false">IF($A19&lt;=Assumptions!$C$20,Assumptions!$C$20-$A19+1,0)</f>
        <v>0</v>
      </c>
      <c r="D19" s="10" t="n">
        <f aca="false">MAX(0,C19-Assumptions!$C$19)</f>
        <v>0</v>
      </c>
      <c r="E19" s="31" t="n">
        <f aca="false">IF(C19=0,0,IF((1-Assumptions!$C$17)=1,C19,(1-Assumptions!$C$17)*(1-(1-Assumptions!$C$17)^C19)/(1-(1-Assumptions!$C$17))))</f>
        <v>0</v>
      </c>
      <c r="F19" s="31" t="n">
        <f aca="false">IF(D19=0,0,IF((1-Assumptions!$C$17)=1,D19,(1-Assumptions!$C$17)*(1-(1-Assumptions!$C$17)^D19)/(1-(1-Assumptions!$C$17))))</f>
        <v>0</v>
      </c>
      <c r="G19" s="31" t="n">
        <f aca="false">IF(D19=0,0,IF((1-Assumptions!$C$18)=1,D19,(1-Assumptions!$C$18)*(1-(1-Assumptions!$C$18)^D19)/(1-(1-Assumptions!$C$18))))</f>
        <v>0</v>
      </c>
      <c r="I19" s="23" t="n">
        <f aca="false">IF($A19&lt;=Assumptions!$D$20,Assumptions!$D$6*Assumptions!$D$9*Assumptions!$D$8,0)</f>
        <v>0</v>
      </c>
      <c r="J19" s="10" t="n">
        <f aca="false">IF($A19&lt;=Assumptions!$D$20,Assumptions!$D$20-$A19+1,0)</f>
        <v>0</v>
      </c>
      <c r="K19" s="10" t="n">
        <f aca="false">MAX(0,J19-Assumptions!$D$19)</f>
        <v>0</v>
      </c>
      <c r="L19" s="31" t="n">
        <f aca="false">IF(J19=0,0,IF((1-Assumptions!$D$17)=1,J19,(1-Assumptions!$D$17)*(1-(1-Assumptions!$D$17)^J19)/(1-(1-Assumptions!$D$17))))</f>
        <v>0</v>
      </c>
      <c r="M19" s="31" t="n">
        <f aca="false">IF(K19=0,0,IF((1-Assumptions!$D$17)=1,K19,(1-Assumptions!$D$17)*(1-(1-Assumptions!$D$17)^K19)/(1-(1-Assumptions!$D$17))))</f>
        <v>0</v>
      </c>
      <c r="N19" s="31" t="n">
        <f aca="false">IF(K19=0,0,IF((1-Assumptions!$D$18)=1,K19,(1-Assumptions!$D$18)*(1-(1-Assumptions!$D$18)^K19)/(1-(1-Assumptions!$D$18))))</f>
        <v>0</v>
      </c>
      <c r="P19" s="23" t="n">
        <f aca="false">IF($A19&lt;=Assumptions!$E$20,Assumptions!$E$6*Assumptions!$E$9*Assumptions!$E$8,0)</f>
        <v>0</v>
      </c>
      <c r="Q19" s="10" t="n">
        <f aca="false">IF($A19&lt;=Assumptions!$E$20,Assumptions!$E$20-$A19+1,0)</f>
        <v>0</v>
      </c>
      <c r="R19" s="10" t="n">
        <f aca="false">MAX(0,Q19-Assumptions!$E$19)</f>
        <v>0</v>
      </c>
      <c r="S19" s="31" t="n">
        <f aca="false">IF(Q19=0,0,IF((1-Assumptions!$E$17)=1,Q19,(1-Assumptions!$E$17)*(1-(1-Assumptions!$E$17)^Q19)/(1-(1-Assumptions!$E$17))))</f>
        <v>0</v>
      </c>
      <c r="T19" s="31" t="n">
        <f aca="false">IF(R19=0,0,IF((1-Assumptions!$E$17)=1,R19,(1-Assumptions!$E$17)*(1-(1-Assumptions!$E$17)^R19)/(1-(1-Assumptions!$E$17))))</f>
        <v>0</v>
      </c>
      <c r="U19" s="31" t="n">
        <f aca="false">IF(R19=0,0,IF((1-Assumptions!$E$18)=1,R19,(1-Assumptions!$E$18)*(1-(1-Assumptions!$E$18)^R19)/(1-(1-Assumptions!$E$18))))</f>
        <v>0</v>
      </c>
    </row>
    <row r="20" customFormat="false" ht="15" hidden="false" customHeight="false" outlineLevel="0" collapsed="false">
      <c r="A20" s="10" t="n">
        <v>16</v>
      </c>
      <c r="B20" s="23" t="n">
        <f aca="false">IF($A20&lt;=Assumptions!$C$20,Assumptions!$C$6*Assumptions!$C$9*Assumptions!$C$8,0)</f>
        <v>0</v>
      </c>
      <c r="C20" s="10" t="n">
        <f aca="false">IF($A20&lt;=Assumptions!$C$20,Assumptions!$C$20-$A20+1,0)</f>
        <v>0</v>
      </c>
      <c r="D20" s="10" t="n">
        <f aca="false">MAX(0,C20-Assumptions!$C$19)</f>
        <v>0</v>
      </c>
      <c r="E20" s="31" t="n">
        <f aca="false">IF(C20=0,0,IF((1-Assumptions!$C$17)=1,C20,(1-Assumptions!$C$17)*(1-(1-Assumptions!$C$17)^C20)/(1-(1-Assumptions!$C$17))))</f>
        <v>0</v>
      </c>
      <c r="F20" s="31" t="n">
        <f aca="false">IF(D20=0,0,IF((1-Assumptions!$C$17)=1,D20,(1-Assumptions!$C$17)*(1-(1-Assumptions!$C$17)^D20)/(1-(1-Assumptions!$C$17))))</f>
        <v>0</v>
      </c>
      <c r="G20" s="31" t="n">
        <f aca="false">IF(D20=0,0,IF((1-Assumptions!$C$18)=1,D20,(1-Assumptions!$C$18)*(1-(1-Assumptions!$C$18)^D20)/(1-(1-Assumptions!$C$18))))</f>
        <v>0</v>
      </c>
      <c r="I20" s="23" t="n">
        <f aca="false">IF($A20&lt;=Assumptions!$D$20,Assumptions!$D$6*Assumptions!$D$9*Assumptions!$D$8,0)</f>
        <v>0</v>
      </c>
      <c r="J20" s="10" t="n">
        <f aca="false">IF($A20&lt;=Assumptions!$D$20,Assumptions!$D$20-$A20+1,0)</f>
        <v>0</v>
      </c>
      <c r="K20" s="10" t="n">
        <f aca="false">MAX(0,J20-Assumptions!$D$19)</f>
        <v>0</v>
      </c>
      <c r="L20" s="31" t="n">
        <f aca="false">IF(J20=0,0,IF((1-Assumptions!$D$17)=1,J20,(1-Assumptions!$D$17)*(1-(1-Assumptions!$D$17)^J20)/(1-(1-Assumptions!$D$17))))</f>
        <v>0</v>
      </c>
      <c r="M20" s="31" t="n">
        <f aca="false">IF(K20=0,0,IF((1-Assumptions!$D$17)=1,K20,(1-Assumptions!$D$17)*(1-(1-Assumptions!$D$17)^K20)/(1-(1-Assumptions!$D$17))))</f>
        <v>0</v>
      </c>
      <c r="N20" s="31" t="n">
        <f aca="false">IF(K20=0,0,IF((1-Assumptions!$D$18)=1,K20,(1-Assumptions!$D$18)*(1-(1-Assumptions!$D$18)^K20)/(1-(1-Assumptions!$D$18))))</f>
        <v>0</v>
      </c>
      <c r="P20" s="23" t="n">
        <f aca="false">IF($A20&lt;=Assumptions!$E$20,Assumptions!$E$6*Assumptions!$E$9*Assumptions!$E$8,0)</f>
        <v>0</v>
      </c>
      <c r="Q20" s="10" t="n">
        <f aca="false">IF($A20&lt;=Assumptions!$E$20,Assumptions!$E$20-$A20+1,0)</f>
        <v>0</v>
      </c>
      <c r="R20" s="10" t="n">
        <f aca="false">MAX(0,Q20-Assumptions!$E$19)</f>
        <v>0</v>
      </c>
      <c r="S20" s="31" t="n">
        <f aca="false">IF(Q20=0,0,IF((1-Assumptions!$E$17)=1,Q20,(1-Assumptions!$E$17)*(1-(1-Assumptions!$E$17)^Q20)/(1-(1-Assumptions!$E$17))))</f>
        <v>0</v>
      </c>
      <c r="T20" s="31" t="n">
        <f aca="false">IF(R20=0,0,IF((1-Assumptions!$E$17)=1,R20,(1-Assumptions!$E$17)*(1-(1-Assumptions!$E$17)^R20)/(1-(1-Assumptions!$E$17))))</f>
        <v>0</v>
      </c>
      <c r="U20" s="31" t="n">
        <f aca="false">IF(R20=0,0,IF((1-Assumptions!$E$18)=1,R20,(1-Assumptions!$E$18)*(1-(1-Assumptions!$E$18)^R20)/(1-(1-Assumptions!$E$18))))</f>
        <v>0</v>
      </c>
    </row>
    <row r="21" customFormat="false" ht="15" hidden="false" customHeight="false" outlineLevel="0" collapsed="false">
      <c r="A21" s="10" t="n">
        <v>17</v>
      </c>
      <c r="B21" s="23" t="n">
        <f aca="false">IF($A21&lt;=Assumptions!$C$20,Assumptions!$C$6*Assumptions!$C$9*Assumptions!$C$8,0)</f>
        <v>0</v>
      </c>
      <c r="C21" s="10" t="n">
        <f aca="false">IF($A21&lt;=Assumptions!$C$20,Assumptions!$C$20-$A21+1,0)</f>
        <v>0</v>
      </c>
      <c r="D21" s="10" t="n">
        <f aca="false">MAX(0,C21-Assumptions!$C$19)</f>
        <v>0</v>
      </c>
      <c r="E21" s="31" t="n">
        <f aca="false">IF(C21=0,0,IF((1-Assumptions!$C$17)=1,C21,(1-Assumptions!$C$17)*(1-(1-Assumptions!$C$17)^C21)/(1-(1-Assumptions!$C$17))))</f>
        <v>0</v>
      </c>
      <c r="F21" s="31" t="n">
        <f aca="false">IF(D21=0,0,IF((1-Assumptions!$C$17)=1,D21,(1-Assumptions!$C$17)*(1-(1-Assumptions!$C$17)^D21)/(1-(1-Assumptions!$C$17))))</f>
        <v>0</v>
      </c>
      <c r="G21" s="31" t="n">
        <f aca="false">IF(D21=0,0,IF((1-Assumptions!$C$18)=1,D21,(1-Assumptions!$C$18)*(1-(1-Assumptions!$C$18)^D21)/(1-(1-Assumptions!$C$18))))</f>
        <v>0</v>
      </c>
      <c r="I21" s="23" t="n">
        <f aca="false">IF($A21&lt;=Assumptions!$D$20,Assumptions!$D$6*Assumptions!$D$9*Assumptions!$D$8,0)</f>
        <v>0</v>
      </c>
      <c r="J21" s="10" t="n">
        <f aca="false">IF($A21&lt;=Assumptions!$D$20,Assumptions!$D$20-$A21+1,0)</f>
        <v>0</v>
      </c>
      <c r="K21" s="10" t="n">
        <f aca="false">MAX(0,J21-Assumptions!$D$19)</f>
        <v>0</v>
      </c>
      <c r="L21" s="31" t="n">
        <f aca="false">IF(J21=0,0,IF((1-Assumptions!$D$17)=1,J21,(1-Assumptions!$D$17)*(1-(1-Assumptions!$D$17)^J21)/(1-(1-Assumptions!$D$17))))</f>
        <v>0</v>
      </c>
      <c r="M21" s="31" t="n">
        <f aca="false">IF(K21=0,0,IF((1-Assumptions!$D$17)=1,K21,(1-Assumptions!$D$17)*(1-(1-Assumptions!$D$17)^K21)/(1-(1-Assumptions!$D$17))))</f>
        <v>0</v>
      </c>
      <c r="N21" s="31" t="n">
        <f aca="false">IF(K21=0,0,IF((1-Assumptions!$D$18)=1,K21,(1-Assumptions!$D$18)*(1-(1-Assumptions!$D$18)^K21)/(1-(1-Assumptions!$D$18))))</f>
        <v>0</v>
      </c>
      <c r="P21" s="23" t="n">
        <f aca="false">IF($A21&lt;=Assumptions!$E$20,Assumptions!$E$6*Assumptions!$E$9*Assumptions!$E$8,0)</f>
        <v>0</v>
      </c>
      <c r="Q21" s="10" t="n">
        <f aca="false">IF($A21&lt;=Assumptions!$E$20,Assumptions!$E$20-$A21+1,0)</f>
        <v>0</v>
      </c>
      <c r="R21" s="10" t="n">
        <f aca="false">MAX(0,Q21-Assumptions!$E$19)</f>
        <v>0</v>
      </c>
      <c r="S21" s="31" t="n">
        <f aca="false">IF(Q21=0,0,IF((1-Assumptions!$E$17)=1,Q21,(1-Assumptions!$E$17)*(1-(1-Assumptions!$E$17)^Q21)/(1-(1-Assumptions!$E$17))))</f>
        <v>0</v>
      </c>
      <c r="T21" s="31" t="n">
        <f aca="false">IF(R21=0,0,IF((1-Assumptions!$E$17)=1,R21,(1-Assumptions!$E$17)*(1-(1-Assumptions!$E$17)^R21)/(1-(1-Assumptions!$E$17))))</f>
        <v>0</v>
      </c>
      <c r="U21" s="31" t="n">
        <f aca="false">IF(R21=0,0,IF((1-Assumptions!$E$18)=1,R21,(1-Assumptions!$E$18)*(1-(1-Assumptions!$E$18)^R21)/(1-(1-Assumptions!$E$18))))</f>
        <v>0</v>
      </c>
    </row>
    <row r="22" customFormat="false" ht="15" hidden="false" customHeight="false" outlineLevel="0" collapsed="false">
      <c r="A22" s="10" t="n">
        <v>18</v>
      </c>
      <c r="B22" s="23" t="n">
        <f aca="false">IF($A22&lt;=Assumptions!$C$20,Assumptions!$C$6*Assumptions!$C$9*Assumptions!$C$8,0)</f>
        <v>0</v>
      </c>
      <c r="C22" s="10" t="n">
        <f aca="false">IF($A22&lt;=Assumptions!$C$20,Assumptions!$C$20-$A22+1,0)</f>
        <v>0</v>
      </c>
      <c r="D22" s="10" t="n">
        <f aca="false">MAX(0,C22-Assumptions!$C$19)</f>
        <v>0</v>
      </c>
      <c r="E22" s="31" t="n">
        <f aca="false">IF(C22=0,0,IF((1-Assumptions!$C$17)=1,C22,(1-Assumptions!$C$17)*(1-(1-Assumptions!$C$17)^C22)/(1-(1-Assumptions!$C$17))))</f>
        <v>0</v>
      </c>
      <c r="F22" s="31" t="n">
        <f aca="false">IF(D22=0,0,IF((1-Assumptions!$C$17)=1,D22,(1-Assumptions!$C$17)*(1-(1-Assumptions!$C$17)^D22)/(1-(1-Assumptions!$C$17))))</f>
        <v>0</v>
      </c>
      <c r="G22" s="31" t="n">
        <f aca="false">IF(D22=0,0,IF((1-Assumptions!$C$18)=1,D22,(1-Assumptions!$C$18)*(1-(1-Assumptions!$C$18)^D22)/(1-(1-Assumptions!$C$18))))</f>
        <v>0</v>
      </c>
      <c r="I22" s="23" t="n">
        <f aca="false">IF($A22&lt;=Assumptions!$D$20,Assumptions!$D$6*Assumptions!$D$9*Assumptions!$D$8,0)</f>
        <v>0</v>
      </c>
      <c r="J22" s="10" t="n">
        <f aca="false">IF($A22&lt;=Assumptions!$D$20,Assumptions!$D$20-$A22+1,0)</f>
        <v>0</v>
      </c>
      <c r="K22" s="10" t="n">
        <f aca="false">MAX(0,J22-Assumptions!$D$19)</f>
        <v>0</v>
      </c>
      <c r="L22" s="31" t="n">
        <f aca="false">IF(J22=0,0,IF((1-Assumptions!$D$17)=1,J22,(1-Assumptions!$D$17)*(1-(1-Assumptions!$D$17)^J22)/(1-(1-Assumptions!$D$17))))</f>
        <v>0</v>
      </c>
      <c r="M22" s="31" t="n">
        <f aca="false">IF(K22=0,0,IF((1-Assumptions!$D$17)=1,K22,(1-Assumptions!$D$17)*(1-(1-Assumptions!$D$17)^K22)/(1-(1-Assumptions!$D$17))))</f>
        <v>0</v>
      </c>
      <c r="N22" s="31" t="n">
        <f aca="false">IF(K22=0,0,IF((1-Assumptions!$D$18)=1,K22,(1-Assumptions!$D$18)*(1-(1-Assumptions!$D$18)^K22)/(1-(1-Assumptions!$D$18))))</f>
        <v>0</v>
      </c>
      <c r="P22" s="23" t="n">
        <f aca="false">IF($A22&lt;=Assumptions!$E$20,Assumptions!$E$6*Assumptions!$E$9*Assumptions!$E$8,0)</f>
        <v>0</v>
      </c>
      <c r="Q22" s="10" t="n">
        <f aca="false">IF($A22&lt;=Assumptions!$E$20,Assumptions!$E$20-$A22+1,0)</f>
        <v>0</v>
      </c>
      <c r="R22" s="10" t="n">
        <f aca="false">MAX(0,Q22-Assumptions!$E$19)</f>
        <v>0</v>
      </c>
      <c r="S22" s="31" t="n">
        <f aca="false">IF(Q22=0,0,IF((1-Assumptions!$E$17)=1,Q22,(1-Assumptions!$E$17)*(1-(1-Assumptions!$E$17)^Q22)/(1-(1-Assumptions!$E$17))))</f>
        <v>0</v>
      </c>
      <c r="T22" s="31" t="n">
        <f aca="false">IF(R22=0,0,IF((1-Assumptions!$E$17)=1,R22,(1-Assumptions!$E$17)*(1-(1-Assumptions!$E$17)^R22)/(1-(1-Assumptions!$E$17))))</f>
        <v>0</v>
      </c>
      <c r="U22" s="31" t="n">
        <f aca="false">IF(R22=0,0,IF((1-Assumptions!$E$18)=1,R22,(1-Assumptions!$E$18)*(1-(1-Assumptions!$E$18)^R22)/(1-(1-Assumptions!$E$18))))</f>
        <v>0</v>
      </c>
    </row>
    <row r="23" customFormat="false" ht="15" hidden="false" customHeight="false" outlineLevel="0" collapsed="false">
      <c r="A23" s="10" t="n">
        <v>19</v>
      </c>
      <c r="B23" s="23" t="n">
        <f aca="false">IF($A23&lt;=Assumptions!$C$20,Assumptions!$C$6*Assumptions!$C$9*Assumptions!$C$8,0)</f>
        <v>0</v>
      </c>
      <c r="C23" s="10" t="n">
        <f aca="false">IF($A23&lt;=Assumptions!$C$20,Assumptions!$C$20-$A23+1,0)</f>
        <v>0</v>
      </c>
      <c r="D23" s="10" t="n">
        <f aca="false">MAX(0,C23-Assumptions!$C$19)</f>
        <v>0</v>
      </c>
      <c r="E23" s="31" t="n">
        <f aca="false">IF(C23=0,0,IF((1-Assumptions!$C$17)=1,C23,(1-Assumptions!$C$17)*(1-(1-Assumptions!$C$17)^C23)/(1-(1-Assumptions!$C$17))))</f>
        <v>0</v>
      </c>
      <c r="F23" s="31" t="n">
        <f aca="false">IF(D23=0,0,IF((1-Assumptions!$C$17)=1,D23,(1-Assumptions!$C$17)*(1-(1-Assumptions!$C$17)^D23)/(1-(1-Assumptions!$C$17))))</f>
        <v>0</v>
      </c>
      <c r="G23" s="31" t="n">
        <f aca="false">IF(D23=0,0,IF((1-Assumptions!$C$18)=1,D23,(1-Assumptions!$C$18)*(1-(1-Assumptions!$C$18)^D23)/(1-(1-Assumptions!$C$18))))</f>
        <v>0</v>
      </c>
      <c r="I23" s="23" t="n">
        <f aca="false">IF($A23&lt;=Assumptions!$D$20,Assumptions!$D$6*Assumptions!$D$9*Assumptions!$D$8,0)</f>
        <v>0</v>
      </c>
      <c r="J23" s="10" t="n">
        <f aca="false">IF($A23&lt;=Assumptions!$D$20,Assumptions!$D$20-$A23+1,0)</f>
        <v>0</v>
      </c>
      <c r="K23" s="10" t="n">
        <f aca="false">MAX(0,J23-Assumptions!$D$19)</f>
        <v>0</v>
      </c>
      <c r="L23" s="31" t="n">
        <f aca="false">IF(J23=0,0,IF((1-Assumptions!$D$17)=1,J23,(1-Assumptions!$D$17)*(1-(1-Assumptions!$D$17)^J23)/(1-(1-Assumptions!$D$17))))</f>
        <v>0</v>
      </c>
      <c r="M23" s="31" t="n">
        <f aca="false">IF(K23=0,0,IF((1-Assumptions!$D$17)=1,K23,(1-Assumptions!$D$17)*(1-(1-Assumptions!$D$17)^K23)/(1-(1-Assumptions!$D$17))))</f>
        <v>0</v>
      </c>
      <c r="N23" s="31" t="n">
        <f aca="false">IF(K23=0,0,IF((1-Assumptions!$D$18)=1,K23,(1-Assumptions!$D$18)*(1-(1-Assumptions!$D$18)^K23)/(1-(1-Assumptions!$D$18))))</f>
        <v>0</v>
      </c>
      <c r="P23" s="23" t="n">
        <f aca="false">IF($A23&lt;=Assumptions!$E$20,Assumptions!$E$6*Assumptions!$E$9*Assumptions!$E$8,0)</f>
        <v>0</v>
      </c>
      <c r="Q23" s="10" t="n">
        <f aca="false">IF($A23&lt;=Assumptions!$E$20,Assumptions!$E$20-$A23+1,0)</f>
        <v>0</v>
      </c>
      <c r="R23" s="10" t="n">
        <f aca="false">MAX(0,Q23-Assumptions!$E$19)</f>
        <v>0</v>
      </c>
      <c r="S23" s="31" t="n">
        <f aca="false">IF(Q23=0,0,IF((1-Assumptions!$E$17)=1,Q23,(1-Assumptions!$E$17)*(1-(1-Assumptions!$E$17)^Q23)/(1-(1-Assumptions!$E$17))))</f>
        <v>0</v>
      </c>
      <c r="T23" s="31" t="n">
        <f aca="false">IF(R23=0,0,IF((1-Assumptions!$E$17)=1,R23,(1-Assumptions!$E$17)*(1-(1-Assumptions!$E$17)^R23)/(1-(1-Assumptions!$E$17))))</f>
        <v>0</v>
      </c>
      <c r="U23" s="31" t="n">
        <f aca="false">IF(R23=0,0,IF((1-Assumptions!$E$18)=1,R23,(1-Assumptions!$E$18)*(1-(1-Assumptions!$E$18)^R23)/(1-(1-Assumptions!$E$18))))</f>
        <v>0</v>
      </c>
    </row>
    <row r="24" customFormat="false" ht="15" hidden="false" customHeight="false" outlineLevel="0" collapsed="false">
      <c r="A24" s="10" t="n">
        <v>20</v>
      </c>
      <c r="B24" s="23" t="n">
        <f aca="false">IF($A24&lt;=Assumptions!$C$20,Assumptions!$C$6*Assumptions!$C$9*Assumptions!$C$8,0)</f>
        <v>0</v>
      </c>
      <c r="C24" s="10" t="n">
        <f aca="false">IF($A24&lt;=Assumptions!$C$20,Assumptions!$C$20-$A24+1,0)</f>
        <v>0</v>
      </c>
      <c r="D24" s="10" t="n">
        <f aca="false">MAX(0,C24-Assumptions!$C$19)</f>
        <v>0</v>
      </c>
      <c r="E24" s="31" t="n">
        <f aca="false">IF(C24=0,0,IF((1-Assumptions!$C$17)=1,C24,(1-Assumptions!$C$17)*(1-(1-Assumptions!$C$17)^C24)/(1-(1-Assumptions!$C$17))))</f>
        <v>0</v>
      </c>
      <c r="F24" s="31" t="n">
        <f aca="false">IF(D24=0,0,IF((1-Assumptions!$C$17)=1,D24,(1-Assumptions!$C$17)*(1-(1-Assumptions!$C$17)^D24)/(1-(1-Assumptions!$C$17))))</f>
        <v>0</v>
      </c>
      <c r="G24" s="31" t="n">
        <f aca="false">IF(D24=0,0,IF((1-Assumptions!$C$18)=1,D24,(1-Assumptions!$C$18)*(1-(1-Assumptions!$C$18)^D24)/(1-(1-Assumptions!$C$18))))</f>
        <v>0</v>
      </c>
      <c r="I24" s="23" t="n">
        <f aca="false">IF($A24&lt;=Assumptions!$D$20,Assumptions!$D$6*Assumptions!$D$9*Assumptions!$D$8,0)</f>
        <v>0</v>
      </c>
      <c r="J24" s="10" t="n">
        <f aca="false">IF($A24&lt;=Assumptions!$D$20,Assumptions!$D$20-$A24+1,0)</f>
        <v>0</v>
      </c>
      <c r="K24" s="10" t="n">
        <f aca="false">MAX(0,J24-Assumptions!$D$19)</f>
        <v>0</v>
      </c>
      <c r="L24" s="31" t="n">
        <f aca="false">IF(J24=0,0,IF((1-Assumptions!$D$17)=1,J24,(1-Assumptions!$D$17)*(1-(1-Assumptions!$D$17)^J24)/(1-(1-Assumptions!$D$17))))</f>
        <v>0</v>
      </c>
      <c r="M24" s="31" t="n">
        <f aca="false">IF(K24=0,0,IF((1-Assumptions!$D$17)=1,K24,(1-Assumptions!$D$17)*(1-(1-Assumptions!$D$17)^K24)/(1-(1-Assumptions!$D$17))))</f>
        <v>0</v>
      </c>
      <c r="N24" s="31" t="n">
        <f aca="false">IF(K24=0,0,IF((1-Assumptions!$D$18)=1,K24,(1-Assumptions!$D$18)*(1-(1-Assumptions!$D$18)^K24)/(1-(1-Assumptions!$D$18))))</f>
        <v>0</v>
      </c>
      <c r="P24" s="23" t="n">
        <f aca="false">IF($A24&lt;=Assumptions!$E$20,Assumptions!$E$6*Assumptions!$E$9*Assumptions!$E$8,0)</f>
        <v>0</v>
      </c>
      <c r="Q24" s="10" t="n">
        <f aca="false">IF($A24&lt;=Assumptions!$E$20,Assumptions!$E$20-$A24+1,0)</f>
        <v>0</v>
      </c>
      <c r="R24" s="10" t="n">
        <f aca="false">MAX(0,Q24-Assumptions!$E$19)</f>
        <v>0</v>
      </c>
      <c r="S24" s="31" t="n">
        <f aca="false">IF(Q24=0,0,IF((1-Assumptions!$E$17)=1,Q24,(1-Assumptions!$E$17)*(1-(1-Assumptions!$E$17)^Q24)/(1-(1-Assumptions!$E$17))))</f>
        <v>0</v>
      </c>
      <c r="T24" s="31" t="n">
        <f aca="false">IF(R24=0,0,IF((1-Assumptions!$E$17)=1,R24,(1-Assumptions!$E$17)*(1-(1-Assumptions!$E$17)^R24)/(1-(1-Assumptions!$E$17))))</f>
        <v>0</v>
      </c>
      <c r="U24" s="31" t="n">
        <f aca="false">IF(R24=0,0,IF((1-Assumptions!$E$18)=1,R24,(1-Assumptions!$E$18)*(1-(1-Assumptions!$E$18)^R24)/(1-(1-Assumptions!$E$18))))</f>
        <v>0</v>
      </c>
    </row>
    <row r="25" customFormat="false" ht="15" hidden="false" customHeight="false" outlineLevel="0" collapsed="false">
      <c r="A25" s="10" t="n">
        <v>21</v>
      </c>
      <c r="B25" s="23" t="n">
        <f aca="false">IF($A25&lt;=Assumptions!$C$20,Assumptions!$C$6*Assumptions!$C$9*Assumptions!$C$8,0)</f>
        <v>0</v>
      </c>
      <c r="C25" s="10" t="n">
        <f aca="false">IF($A25&lt;=Assumptions!$C$20,Assumptions!$C$20-$A25+1,0)</f>
        <v>0</v>
      </c>
      <c r="D25" s="10" t="n">
        <f aca="false">MAX(0,C25-Assumptions!$C$19)</f>
        <v>0</v>
      </c>
      <c r="E25" s="31" t="n">
        <f aca="false">IF(C25=0,0,IF((1-Assumptions!$C$17)=1,C25,(1-Assumptions!$C$17)*(1-(1-Assumptions!$C$17)^C25)/(1-(1-Assumptions!$C$17))))</f>
        <v>0</v>
      </c>
      <c r="F25" s="31" t="n">
        <f aca="false">IF(D25=0,0,IF((1-Assumptions!$C$17)=1,D25,(1-Assumptions!$C$17)*(1-(1-Assumptions!$C$17)^D25)/(1-(1-Assumptions!$C$17))))</f>
        <v>0</v>
      </c>
      <c r="G25" s="31" t="n">
        <f aca="false">IF(D25=0,0,IF((1-Assumptions!$C$18)=1,D25,(1-Assumptions!$C$18)*(1-(1-Assumptions!$C$18)^D25)/(1-(1-Assumptions!$C$18))))</f>
        <v>0</v>
      </c>
      <c r="I25" s="23" t="n">
        <f aca="false">IF($A25&lt;=Assumptions!$D$20,Assumptions!$D$6*Assumptions!$D$9*Assumptions!$D$8,0)</f>
        <v>0</v>
      </c>
      <c r="J25" s="10" t="n">
        <f aca="false">IF($A25&lt;=Assumptions!$D$20,Assumptions!$D$20-$A25+1,0)</f>
        <v>0</v>
      </c>
      <c r="K25" s="10" t="n">
        <f aca="false">MAX(0,J25-Assumptions!$D$19)</f>
        <v>0</v>
      </c>
      <c r="L25" s="31" t="n">
        <f aca="false">IF(J25=0,0,IF((1-Assumptions!$D$17)=1,J25,(1-Assumptions!$D$17)*(1-(1-Assumptions!$D$17)^J25)/(1-(1-Assumptions!$D$17))))</f>
        <v>0</v>
      </c>
      <c r="M25" s="31" t="n">
        <f aca="false">IF(K25=0,0,IF((1-Assumptions!$D$17)=1,K25,(1-Assumptions!$D$17)*(1-(1-Assumptions!$D$17)^K25)/(1-(1-Assumptions!$D$17))))</f>
        <v>0</v>
      </c>
      <c r="N25" s="31" t="n">
        <f aca="false">IF(K25=0,0,IF((1-Assumptions!$D$18)=1,K25,(1-Assumptions!$D$18)*(1-(1-Assumptions!$D$18)^K25)/(1-(1-Assumptions!$D$18))))</f>
        <v>0</v>
      </c>
      <c r="P25" s="23" t="n">
        <f aca="false">IF($A25&lt;=Assumptions!$E$20,Assumptions!$E$6*Assumptions!$E$9*Assumptions!$E$8,0)</f>
        <v>0</v>
      </c>
      <c r="Q25" s="10" t="n">
        <f aca="false">IF($A25&lt;=Assumptions!$E$20,Assumptions!$E$20-$A25+1,0)</f>
        <v>0</v>
      </c>
      <c r="R25" s="10" t="n">
        <f aca="false">MAX(0,Q25-Assumptions!$E$19)</f>
        <v>0</v>
      </c>
      <c r="S25" s="31" t="n">
        <f aca="false">IF(Q25=0,0,IF((1-Assumptions!$E$17)=1,Q25,(1-Assumptions!$E$17)*(1-(1-Assumptions!$E$17)^Q25)/(1-(1-Assumptions!$E$17))))</f>
        <v>0</v>
      </c>
      <c r="T25" s="31" t="n">
        <f aca="false">IF(R25=0,0,IF((1-Assumptions!$E$17)=1,R25,(1-Assumptions!$E$17)*(1-(1-Assumptions!$E$17)^R25)/(1-(1-Assumptions!$E$17))))</f>
        <v>0</v>
      </c>
      <c r="U25" s="31" t="n">
        <f aca="false">IF(R25=0,0,IF((1-Assumptions!$E$18)=1,R25,(1-Assumptions!$E$18)*(1-(1-Assumptions!$E$18)^R25)/(1-(1-Assumptions!$E$18))))</f>
        <v>0</v>
      </c>
    </row>
    <row r="26" customFormat="false" ht="15" hidden="false" customHeight="false" outlineLevel="0" collapsed="false">
      <c r="A26" s="10" t="n">
        <v>22</v>
      </c>
      <c r="B26" s="23" t="n">
        <f aca="false">IF($A26&lt;=Assumptions!$C$20,Assumptions!$C$6*Assumptions!$C$9*Assumptions!$C$8,0)</f>
        <v>0</v>
      </c>
      <c r="C26" s="10" t="n">
        <f aca="false">IF($A26&lt;=Assumptions!$C$20,Assumptions!$C$20-$A26+1,0)</f>
        <v>0</v>
      </c>
      <c r="D26" s="10" t="n">
        <f aca="false">MAX(0,C26-Assumptions!$C$19)</f>
        <v>0</v>
      </c>
      <c r="E26" s="31" t="n">
        <f aca="false">IF(C26=0,0,IF((1-Assumptions!$C$17)=1,C26,(1-Assumptions!$C$17)*(1-(1-Assumptions!$C$17)^C26)/(1-(1-Assumptions!$C$17))))</f>
        <v>0</v>
      </c>
      <c r="F26" s="31" t="n">
        <f aca="false">IF(D26=0,0,IF((1-Assumptions!$C$17)=1,D26,(1-Assumptions!$C$17)*(1-(1-Assumptions!$C$17)^D26)/(1-(1-Assumptions!$C$17))))</f>
        <v>0</v>
      </c>
      <c r="G26" s="31" t="n">
        <f aca="false">IF(D26=0,0,IF((1-Assumptions!$C$18)=1,D26,(1-Assumptions!$C$18)*(1-(1-Assumptions!$C$18)^D26)/(1-(1-Assumptions!$C$18))))</f>
        <v>0</v>
      </c>
      <c r="I26" s="23" t="n">
        <f aca="false">IF($A26&lt;=Assumptions!$D$20,Assumptions!$D$6*Assumptions!$D$9*Assumptions!$D$8,0)</f>
        <v>0</v>
      </c>
      <c r="J26" s="10" t="n">
        <f aca="false">IF($A26&lt;=Assumptions!$D$20,Assumptions!$D$20-$A26+1,0)</f>
        <v>0</v>
      </c>
      <c r="K26" s="10" t="n">
        <f aca="false">MAX(0,J26-Assumptions!$D$19)</f>
        <v>0</v>
      </c>
      <c r="L26" s="31" t="n">
        <f aca="false">IF(J26=0,0,IF((1-Assumptions!$D$17)=1,J26,(1-Assumptions!$D$17)*(1-(1-Assumptions!$D$17)^J26)/(1-(1-Assumptions!$D$17))))</f>
        <v>0</v>
      </c>
      <c r="M26" s="31" t="n">
        <f aca="false">IF(K26=0,0,IF((1-Assumptions!$D$17)=1,K26,(1-Assumptions!$D$17)*(1-(1-Assumptions!$D$17)^K26)/(1-(1-Assumptions!$D$17))))</f>
        <v>0</v>
      </c>
      <c r="N26" s="31" t="n">
        <f aca="false">IF(K26=0,0,IF((1-Assumptions!$D$18)=1,K26,(1-Assumptions!$D$18)*(1-(1-Assumptions!$D$18)^K26)/(1-(1-Assumptions!$D$18))))</f>
        <v>0</v>
      </c>
      <c r="P26" s="23" t="n">
        <f aca="false">IF($A26&lt;=Assumptions!$E$20,Assumptions!$E$6*Assumptions!$E$9*Assumptions!$E$8,0)</f>
        <v>0</v>
      </c>
      <c r="Q26" s="10" t="n">
        <f aca="false">IF($A26&lt;=Assumptions!$E$20,Assumptions!$E$20-$A26+1,0)</f>
        <v>0</v>
      </c>
      <c r="R26" s="10" t="n">
        <f aca="false">MAX(0,Q26-Assumptions!$E$19)</f>
        <v>0</v>
      </c>
      <c r="S26" s="31" t="n">
        <f aca="false">IF(Q26=0,0,IF((1-Assumptions!$E$17)=1,Q26,(1-Assumptions!$E$17)*(1-(1-Assumptions!$E$17)^Q26)/(1-(1-Assumptions!$E$17))))</f>
        <v>0</v>
      </c>
      <c r="T26" s="31" t="n">
        <f aca="false">IF(R26=0,0,IF((1-Assumptions!$E$17)=1,R26,(1-Assumptions!$E$17)*(1-(1-Assumptions!$E$17)^R26)/(1-(1-Assumptions!$E$17))))</f>
        <v>0</v>
      </c>
      <c r="U26" s="31" t="n">
        <f aca="false">IF(R26=0,0,IF((1-Assumptions!$E$18)=1,R26,(1-Assumptions!$E$18)*(1-(1-Assumptions!$E$18)^R26)/(1-(1-Assumptions!$E$18))))</f>
        <v>0</v>
      </c>
    </row>
    <row r="27" customFormat="false" ht="15" hidden="false" customHeight="false" outlineLevel="0" collapsed="false">
      <c r="A27" s="10" t="n">
        <v>23</v>
      </c>
      <c r="B27" s="23" t="n">
        <f aca="false">IF($A27&lt;=Assumptions!$C$20,Assumptions!$C$6*Assumptions!$C$9*Assumptions!$C$8,0)</f>
        <v>0</v>
      </c>
      <c r="C27" s="10" t="n">
        <f aca="false">IF($A27&lt;=Assumptions!$C$20,Assumptions!$C$20-$A27+1,0)</f>
        <v>0</v>
      </c>
      <c r="D27" s="10" t="n">
        <f aca="false">MAX(0,C27-Assumptions!$C$19)</f>
        <v>0</v>
      </c>
      <c r="E27" s="31" t="n">
        <f aca="false">IF(C27=0,0,IF((1-Assumptions!$C$17)=1,C27,(1-Assumptions!$C$17)*(1-(1-Assumptions!$C$17)^C27)/(1-(1-Assumptions!$C$17))))</f>
        <v>0</v>
      </c>
      <c r="F27" s="31" t="n">
        <f aca="false">IF(D27=0,0,IF((1-Assumptions!$C$17)=1,D27,(1-Assumptions!$C$17)*(1-(1-Assumptions!$C$17)^D27)/(1-(1-Assumptions!$C$17))))</f>
        <v>0</v>
      </c>
      <c r="G27" s="31" t="n">
        <f aca="false">IF(D27=0,0,IF((1-Assumptions!$C$18)=1,D27,(1-Assumptions!$C$18)*(1-(1-Assumptions!$C$18)^D27)/(1-(1-Assumptions!$C$18))))</f>
        <v>0</v>
      </c>
      <c r="I27" s="23" t="n">
        <f aca="false">IF($A27&lt;=Assumptions!$D$20,Assumptions!$D$6*Assumptions!$D$9*Assumptions!$D$8,0)</f>
        <v>0</v>
      </c>
      <c r="J27" s="10" t="n">
        <f aca="false">IF($A27&lt;=Assumptions!$D$20,Assumptions!$D$20-$A27+1,0)</f>
        <v>0</v>
      </c>
      <c r="K27" s="10" t="n">
        <f aca="false">MAX(0,J27-Assumptions!$D$19)</f>
        <v>0</v>
      </c>
      <c r="L27" s="31" t="n">
        <f aca="false">IF(J27=0,0,IF((1-Assumptions!$D$17)=1,J27,(1-Assumptions!$D$17)*(1-(1-Assumptions!$D$17)^J27)/(1-(1-Assumptions!$D$17))))</f>
        <v>0</v>
      </c>
      <c r="M27" s="31" t="n">
        <f aca="false">IF(K27=0,0,IF((1-Assumptions!$D$17)=1,K27,(1-Assumptions!$D$17)*(1-(1-Assumptions!$D$17)^K27)/(1-(1-Assumptions!$D$17))))</f>
        <v>0</v>
      </c>
      <c r="N27" s="31" t="n">
        <f aca="false">IF(K27=0,0,IF((1-Assumptions!$D$18)=1,K27,(1-Assumptions!$D$18)*(1-(1-Assumptions!$D$18)^K27)/(1-(1-Assumptions!$D$18))))</f>
        <v>0</v>
      </c>
      <c r="P27" s="23" t="n">
        <f aca="false">IF($A27&lt;=Assumptions!$E$20,Assumptions!$E$6*Assumptions!$E$9*Assumptions!$E$8,0)</f>
        <v>0</v>
      </c>
      <c r="Q27" s="10" t="n">
        <f aca="false">IF($A27&lt;=Assumptions!$E$20,Assumptions!$E$20-$A27+1,0)</f>
        <v>0</v>
      </c>
      <c r="R27" s="10" t="n">
        <f aca="false">MAX(0,Q27-Assumptions!$E$19)</f>
        <v>0</v>
      </c>
      <c r="S27" s="31" t="n">
        <f aca="false">IF(Q27=0,0,IF((1-Assumptions!$E$17)=1,Q27,(1-Assumptions!$E$17)*(1-(1-Assumptions!$E$17)^Q27)/(1-(1-Assumptions!$E$17))))</f>
        <v>0</v>
      </c>
      <c r="T27" s="31" t="n">
        <f aca="false">IF(R27=0,0,IF((1-Assumptions!$E$17)=1,R27,(1-Assumptions!$E$17)*(1-(1-Assumptions!$E$17)^R27)/(1-(1-Assumptions!$E$17))))</f>
        <v>0</v>
      </c>
      <c r="U27" s="31" t="n">
        <f aca="false">IF(R27=0,0,IF((1-Assumptions!$E$18)=1,R27,(1-Assumptions!$E$18)*(1-(1-Assumptions!$E$18)^R27)/(1-(1-Assumptions!$E$18))))</f>
        <v>0</v>
      </c>
    </row>
    <row r="28" customFormat="false" ht="15" hidden="false" customHeight="false" outlineLevel="0" collapsed="false">
      <c r="A28" s="10" t="n">
        <v>24</v>
      </c>
      <c r="B28" s="23" t="n">
        <f aca="false">IF($A28&lt;=Assumptions!$C$20,Assumptions!$C$6*Assumptions!$C$9*Assumptions!$C$8,0)</f>
        <v>0</v>
      </c>
      <c r="C28" s="10" t="n">
        <f aca="false">IF($A28&lt;=Assumptions!$C$20,Assumptions!$C$20-$A28+1,0)</f>
        <v>0</v>
      </c>
      <c r="D28" s="10" t="n">
        <f aca="false">MAX(0,C28-Assumptions!$C$19)</f>
        <v>0</v>
      </c>
      <c r="E28" s="31" t="n">
        <f aca="false">IF(C28=0,0,IF((1-Assumptions!$C$17)=1,C28,(1-Assumptions!$C$17)*(1-(1-Assumptions!$C$17)^C28)/(1-(1-Assumptions!$C$17))))</f>
        <v>0</v>
      </c>
      <c r="F28" s="31" t="n">
        <f aca="false">IF(D28=0,0,IF((1-Assumptions!$C$17)=1,D28,(1-Assumptions!$C$17)*(1-(1-Assumptions!$C$17)^D28)/(1-(1-Assumptions!$C$17))))</f>
        <v>0</v>
      </c>
      <c r="G28" s="31" t="n">
        <f aca="false">IF(D28=0,0,IF((1-Assumptions!$C$18)=1,D28,(1-Assumptions!$C$18)*(1-(1-Assumptions!$C$18)^D28)/(1-(1-Assumptions!$C$18))))</f>
        <v>0</v>
      </c>
      <c r="I28" s="23" t="n">
        <f aca="false">IF($A28&lt;=Assumptions!$D$20,Assumptions!$D$6*Assumptions!$D$9*Assumptions!$D$8,0)</f>
        <v>0</v>
      </c>
      <c r="J28" s="10" t="n">
        <f aca="false">IF($A28&lt;=Assumptions!$D$20,Assumptions!$D$20-$A28+1,0)</f>
        <v>0</v>
      </c>
      <c r="K28" s="10" t="n">
        <f aca="false">MAX(0,J28-Assumptions!$D$19)</f>
        <v>0</v>
      </c>
      <c r="L28" s="31" t="n">
        <f aca="false">IF(J28=0,0,IF((1-Assumptions!$D$17)=1,J28,(1-Assumptions!$D$17)*(1-(1-Assumptions!$D$17)^J28)/(1-(1-Assumptions!$D$17))))</f>
        <v>0</v>
      </c>
      <c r="M28" s="31" t="n">
        <f aca="false">IF(K28=0,0,IF((1-Assumptions!$D$17)=1,K28,(1-Assumptions!$D$17)*(1-(1-Assumptions!$D$17)^K28)/(1-(1-Assumptions!$D$17))))</f>
        <v>0</v>
      </c>
      <c r="N28" s="31" t="n">
        <f aca="false">IF(K28=0,0,IF((1-Assumptions!$D$18)=1,K28,(1-Assumptions!$D$18)*(1-(1-Assumptions!$D$18)^K28)/(1-(1-Assumptions!$D$18))))</f>
        <v>0</v>
      </c>
      <c r="P28" s="23" t="n">
        <f aca="false">IF($A28&lt;=Assumptions!$E$20,Assumptions!$E$6*Assumptions!$E$9*Assumptions!$E$8,0)</f>
        <v>0</v>
      </c>
      <c r="Q28" s="10" t="n">
        <f aca="false">IF($A28&lt;=Assumptions!$E$20,Assumptions!$E$20-$A28+1,0)</f>
        <v>0</v>
      </c>
      <c r="R28" s="10" t="n">
        <f aca="false">MAX(0,Q28-Assumptions!$E$19)</f>
        <v>0</v>
      </c>
      <c r="S28" s="31" t="n">
        <f aca="false">IF(Q28=0,0,IF((1-Assumptions!$E$17)=1,Q28,(1-Assumptions!$E$17)*(1-(1-Assumptions!$E$17)^Q28)/(1-(1-Assumptions!$E$17))))</f>
        <v>0</v>
      </c>
      <c r="T28" s="31" t="n">
        <f aca="false">IF(R28=0,0,IF((1-Assumptions!$E$17)=1,R28,(1-Assumptions!$E$17)*(1-(1-Assumptions!$E$17)^R28)/(1-(1-Assumptions!$E$17))))</f>
        <v>0</v>
      </c>
      <c r="U28" s="31" t="n">
        <f aca="false">IF(R28=0,0,IF((1-Assumptions!$E$18)=1,R28,(1-Assumptions!$E$18)*(1-(1-Assumptions!$E$18)^R28)/(1-(1-Assumptions!$E$18))))</f>
        <v>0</v>
      </c>
    </row>
    <row r="30" customFormat="false" ht="15" hidden="false" customHeight="false" outlineLevel="0" collapsed="false">
      <c r="A30" s="6" t="s">
        <v>190</v>
      </c>
      <c r="B30" s="6" t="s">
        <v>16</v>
      </c>
      <c r="C30" s="6" t="s">
        <v>17</v>
      </c>
      <c r="D30" s="6" t="s">
        <v>18</v>
      </c>
      <c r="E30" s="6" t="s">
        <v>19</v>
      </c>
    </row>
    <row r="31" customFormat="false" ht="15" hidden="false" customHeight="false" outlineLevel="0" collapsed="false">
      <c r="A31" s="9" t="s">
        <v>191</v>
      </c>
      <c r="B31" s="9" t="s">
        <v>192</v>
      </c>
      <c r="C31" s="14" t="n">
        <f aca="false">B5</f>
        <v>1050</v>
      </c>
      <c r="D31" s="14" t="n">
        <f aca="false">I5</f>
        <v>1600</v>
      </c>
      <c r="E31" s="14" t="n">
        <f aca="false">P5</f>
        <v>2250</v>
      </c>
    </row>
    <row r="32" customFormat="false" ht="15" hidden="false" customHeight="false" outlineLevel="0" collapsed="false">
      <c r="A32" s="9" t="s">
        <v>193</v>
      </c>
      <c r="B32" s="9" t="s">
        <v>194</v>
      </c>
      <c r="C32" s="14" t="n">
        <f aca="false">B5*E5</f>
        <v>9169.81625113039</v>
      </c>
      <c r="D32" s="14" t="n">
        <f aca="false">I5*L5</f>
        <v>13973.0533350558</v>
      </c>
      <c r="E32" s="14" t="n">
        <f aca="false">P5*S5</f>
        <v>19649.6062524223</v>
      </c>
    </row>
    <row r="33" customFormat="false" ht="15" hidden="false" customHeight="false" outlineLevel="0" collapsed="false">
      <c r="A33" s="9" t="s">
        <v>195</v>
      </c>
      <c r="B33" s="9" t="s">
        <v>194</v>
      </c>
      <c r="C33" s="14" t="n">
        <f aca="false">B5*(G5-F5)</f>
        <v>513.930711008983</v>
      </c>
      <c r="D33" s="14" t="n">
        <f aca="false">I5*(N5-M5)</f>
        <v>1194.59202814225</v>
      </c>
      <c r="E33" s="14" t="n">
        <f aca="false">P5*(U5-T5)</f>
        <v>2278.02687016081</v>
      </c>
    </row>
    <row r="34" customFormat="false" ht="15" hidden="false" customHeight="false" outlineLevel="0" collapsed="false">
      <c r="A34" s="9" t="s">
        <v>196</v>
      </c>
      <c r="B34" s="9" t="s">
        <v>192</v>
      </c>
      <c r="C34" s="14" t="n">
        <f aca="false">SUM(B5:B28)</f>
        <v>1627.5</v>
      </c>
      <c r="D34" s="14" t="n">
        <f aca="false">SUM(I5:I28)</f>
        <v>2480</v>
      </c>
      <c r="E34" s="14" t="n">
        <f aca="false">SUM(P5:P28)</f>
        <v>3735</v>
      </c>
    </row>
    <row r="35" customFormat="false" ht="15" hidden="false" customHeight="false" outlineLevel="0" collapsed="false">
      <c r="A35" s="9" t="s">
        <v>197</v>
      </c>
      <c r="B35" s="9" t="s">
        <v>194</v>
      </c>
      <c r="C35" s="14" t="n">
        <f aca="false">SUMPRODUCT(B5:B28,E5:E28)</f>
        <v>11970</v>
      </c>
      <c r="D35" s="14" t="n">
        <f aca="false">SUMPRODUCT(I5:I28,L5:L28)</f>
        <v>18240</v>
      </c>
      <c r="E35" s="14" t="n">
        <f aca="false">SUMPRODUCT(P5:P28,S5:S28)</f>
        <v>26850.0787495155</v>
      </c>
    </row>
    <row r="36" customFormat="false" ht="15" hidden="false" customHeight="false" outlineLevel="0" collapsed="false">
      <c r="A36" s="9" t="s">
        <v>198</v>
      </c>
      <c r="B36" s="9" t="s">
        <v>194</v>
      </c>
      <c r="C36" s="14" t="n">
        <f aca="false">SUMPRODUCT(B5:B28,G5:G28)-SUMPRODUCT(B5:B28,F5:F28)</f>
        <v>608.407782476599</v>
      </c>
      <c r="D36" s="14" t="n">
        <f aca="false">SUMPRODUCT(I5:I28,N5:N28)-SUMPRODUCT(I5:I28,M5:M28)</f>
        <v>1412.97033302663</v>
      </c>
      <c r="E36" s="14" t="n">
        <f aca="false">SUMPRODUCT(P5:P28,U5:U28)-SUMPRODUCT(P5:P28,T5:T28)</f>
        <v>2774.93628569412</v>
      </c>
    </row>
    <row r="37" customFormat="false" ht="15" hidden="false" customHeight="false" outlineLevel="0" collapsed="false">
      <c r="A37" s="9" t="s">
        <v>199</v>
      </c>
      <c r="B37" s="9" t="s">
        <v>200</v>
      </c>
      <c r="C37" s="25" t="str">
        <f aca="false">IF(Assumptions!$C$20&lt;=24,"OK","INCREASE TABLE")</f>
        <v>OK</v>
      </c>
      <c r="D37" s="25" t="str">
        <f aca="false">IF(Assumptions!$D$20&lt;=24,"OK","INCREASE TABLE")</f>
        <v>OK</v>
      </c>
      <c r="E37" s="25" t="str">
        <f aca="false">IF(Assumptions!$E$20&lt;=24,"OK","INCREASE TABLE")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4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4" t="s">
        <v>201</v>
      </c>
    </row>
    <row r="3" customFormat="false" ht="15" hidden="false" customHeight="false" outlineLevel="0" collapsed="false">
      <c r="A3" s="6" t="s">
        <v>145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202</v>
      </c>
    </row>
    <row r="4" customFormat="false" ht="15" hidden="false" customHeight="false" outlineLevel="0" collapsed="false">
      <c r="A4" s="7" t="s">
        <v>203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9" t="s">
        <v>204</v>
      </c>
      <c r="B5" s="9" t="s">
        <v>42</v>
      </c>
      <c r="C5" s="16" t="n">
        <f aca="false">'Adoption funnel'!C10-Assumptions!$C$15</f>
        <v>0.0225</v>
      </c>
      <c r="D5" s="16" t="n">
        <f aca="false">'Adoption funnel'!D10-Assumptions!$D$15</f>
        <v>0.07852</v>
      </c>
      <c r="E5" s="16" t="n">
        <f aca="false">'Adoption funnel'!E10-Assumptions!$E$15</f>
        <v>0.1364</v>
      </c>
      <c r="F5" s="9" t="s">
        <v>205</v>
      </c>
    </row>
    <row r="6" customFormat="false" ht="15" hidden="false" customHeight="false" outlineLevel="0" collapsed="false">
      <c r="A6" s="9" t="s">
        <v>206</v>
      </c>
      <c r="B6" s="9" t="s">
        <v>54</v>
      </c>
      <c r="C6" s="32" t="n">
        <f aca="false">Assumptions!$C$17</f>
        <v>0.05</v>
      </c>
      <c r="D6" s="32" t="n">
        <f aca="false">Assumptions!$D$17</f>
        <v>0.05</v>
      </c>
      <c r="E6" s="32" t="n">
        <f aca="false">Assumptions!$E$17</f>
        <v>0.05</v>
      </c>
      <c r="F6" s="9" t="s">
        <v>207</v>
      </c>
    </row>
    <row r="7" customFormat="false" ht="15" hidden="false" customHeight="false" outlineLevel="0" collapsed="false">
      <c r="A7" s="9" t="s">
        <v>208</v>
      </c>
      <c r="B7" s="9" t="s">
        <v>54</v>
      </c>
      <c r="C7" s="32" t="n">
        <f aca="false">Assumptions!$C$18</f>
        <v>0.04</v>
      </c>
      <c r="D7" s="32" t="n">
        <f aca="false">Assumptions!$D$18</f>
        <v>0.035</v>
      </c>
      <c r="E7" s="32" t="n">
        <f aca="false">Assumptions!$E$18</f>
        <v>0.03</v>
      </c>
      <c r="F7" s="9" t="s">
        <v>207</v>
      </c>
    </row>
    <row r="8" customFormat="false" ht="15" hidden="false" customHeight="false" outlineLevel="0" collapsed="false">
      <c r="A8" s="9" t="s">
        <v>209</v>
      </c>
      <c r="B8" s="9" t="s">
        <v>210</v>
      </c>
      <c r="C8" s="33" t="n">
        <f aca="false">C6-C7</f>
        <v>0.01</v>
      </c>
      <c r="D8" s="33" t="n">
        <f aca="false">D6-D7</f>
        <v>0.015</v>
      </c>
      <c r="E8" s="33" t="n">
        <f aca="false">E6-E7</f>
        <v>0.02</v>
      </c>
      <c r="F8" s="9" t="s">
        <v>211</v>
      </c>
    </row>
    <row r="9" customFormat="false" ht="15" hidden="false" customHeight="false" outlineLevel="0" collapsed="false">
      <c r="A9" s="9" t="s">
        <v>212</v>
      </c>
      <c r="B9" s="9" t="s">
        <v>60</v>
      </c>
      <c r="C9" s="34" t="n">
        <f aca="false">Assumptions!$C$19</f>
        <v>1</v>
      </c>
      <c r="D9" s="34" t="n">
        <f aca="false">Assumptions!$D$19</f>
        <v>1</v>
      </c>
      <c r="E9" s="34" t="n">
        <f aca="false">Assumptions!$E$19</f>
        <v>1</v>
      </c>
      <c r="F9" s="9" t="s">
        <v>207</v>
      </c>
    </row>
    <row r="10" customFormat="false" ht="15" hidden="false" customHeight="false" outlineLevel="0" collapsed="false">
      <c r="A10" s="9" t="s">
        <v>213</v>
      </c>
      <c r="B10" s="9" t="s">
        <v>60</v>
      </c>
      <c r="C10" s="34" t="n">
        <f aca="false">Assumptions!$C$20</f>
        <v>12</v>
      </c>
      <c r="D10" s="34" t="n">
        <f aca="false">Assumptions!$D$20</f>
        <v>12</v>
      </c>
      <c r="E10" s="34" t="n">
        <f aca="false">Assumptions!$E$20</f>
        <v>12</v>
      </c>
      <c r="F10" s="9" t="s">
        <v>207</v>
      </c>
    </row>
    <row r="11" customFormat="false" ht="15" hidden="false" customHeight="false" outlineLevel="0" collapsed="false">
      <c r="A11" s="9" t="s">
        <v>65</v>
      </c>
      <c r="B11" s="9" t="s">
        <v>66</v>
      </c>
      <c r="C11" s="24" t="n">
        <f aca="false">Assumptions!$C$22</f>
        <v>2500</v>
      </c>
      <c r="D11" s="24" t="n">
        <f aca="false">Assumptions!$D$22</f>
        <v>2500</v>
      </c>
      <c r="E11" s="24" t="n">
        <f aca="false">Assumptions!$E$22</f>
        <v>2500</v>
      </c>
      <c r="F11" s="9" t="s">
        <v>214</v>
      </c>
    </row>
    <row r="12" customFormat="false" ht="15" hidden="false" customHeight="false" outlineLevel="0" collapsed="false">
      <c r="A12" s="9" t="s">
        <v>215</v>
      </c>
      <c r="B12" s="9" t="s">
        <v>113</v>
      </c>
      <c r="C12" s="35" t="n">
        <f aca="false">Assumptions!$C$23</f>
        <v>0.85</v>
      </c>
      <c r="D12" s="35" t="n">
        <f aca="false">Assumptions!$D$23</f>
        <v>0.85</v>
      </c>
      <c r="E12" s="35" t="n">
        <f aca="false">Assumptions!$E$23</f>
        <v>0.85</v>
      </c>
      <c r="F12" s="9" t="s">
        <v>214</v>
      </c>
    </row>
    <row r="13" customFormat="false" ht="15" hidden="false" customHeight="false" outlineLevel="0" collapsed="false">
      <c r="A13" s="9" t="s">
        <v>216</v>
      </c>
      <c r="B13" s="9" t="s">
        <v>217</v>
      </c>
      <c r="C13" s="33" t="n">
        <f aca="false">C5*((1-C7)^MAX(0,C10-C9)-(1-C6)^MAX(0,C10-C9))</f>
        <v>0.00156238286119608</v>
      </c>
      <c r="D13" s="33" t="n">
        <f aca="false">D5*((1-D7)^MAX(0,D10-D9)-(1-D6)^MAX(0,D10-D9))</f>
        <v>0.00839946517512734</v>
      </c>
      <c r="E13" s="33" t="n">
        <f aca="false">E5*((1-E7)^MAX(0,E10-E9)-(1-E6)^MAX(0,E10-E9))</f>
        <v>0.019982778794705</v>
      </c>
      <c r="F13" s="9" t="s">
        <v>218</v>
      </c>
    </row>
    <row r="14" customFormat="false" ht="15" hidden="false" customHeight="false" outlineLevel="0" collapsed="false">
      <c r="A14" s="9" t="s">
        <v>219</v>
      </c>
      <c r="B14" s="9" t="s">
        <v>73</v>
      </c>
      <c r="C14" s="24" t="n">
        <f aca="false">Assumptions!$C$6*Assumptions!$C$22</f>
        <v>12500000</v>
      </c>
      <c r="D14" s="24" t="n">
        <f aca="false">Assumptions!$D$6*Assumptions!$D$22</f>
        <v>12500000</v>
      </c>
      <c r="E14" s="24" t="n">
        <f aca="false">Assumptions!$E$6*Assumptions!$E$22</f>
        <v>12500000</v>
      </c>
      <c r="F14" s="9" t="s">
        <v>220</v>
      </c>
    </row>
    <row r="16" customFormat="false" ht="15" hidden="false" customHeight="false" outlineLevel="0" collapsed="false">
      <c r="A16" s="7" t="s">
        <v>221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9" t="s">
        <v>222</v>
      </c>
      <c r="B17" s="9" t="s">
        <v>192</v>
      </c>
      <c r="C17" s="23" t="n">
        <f aca="false">'Cohort engine'!C31</f>
        <v>1050</v>
      </c>
      <c r="D17" s="23" t="n">
        <f aca="false">'Cohort engine'!D31</f>
        <v>1600</v>
      </c>
      <c r="E17" s="23" t="n">
        <f aca="false">'Cohort engine'!E31</f>
        <v>2250</v>
      </c>
      <c r="F17" s="9" t="s">
        <v>223</v>
      </c>
    </row>
    <row r="18" customFormat="false" ht="15" hidden="false" customHeight="false" outlineLevel="0" collapsed="false">
      <c r="A18" s="9" t="s">
        <v>224</v>
      </c>
      <c r="B18" s="9" t="s">
        <v>192</v>
      </c>
      <c r="C18" s="14" t="n">
        <f aca="false">C17*C5</f>
        <v>23.625</v>
      </c>
      <c r="D18" s="14" t="n">
        <f aca="false">D17*D5</f>
        <v>125.632</v>
      </c>
      <c r="E18" s="14" t="n">
        <f aca="false">E17*E5</f>
        <v>306.9</v>
      </c>
      <c r="F18" s="9" t="s">
        <v>225</v>
      </c>
    </row>
    <row r="19" customFormat="false" ht="15" hidden="false" customHeight="false" outlineLevel="0" collapsed="false">
      <c r="A19" s="25" t="s">
        <v>226</v>
      </c>
      <c r="B19" s="9" t="s">
        <v>194</v>
      </c>
      <c r="C19" s="36" t="n">
        <f aca="false">C5*'Cohort engine'!C33</f>
        <v>11.5634409977021</v>
      </c>
      <c r="D19" s="36" t="n">
        <f aca="false">D5*'Cohort engine'!D33</f>
        <v>93.7993660497295</v>
      </c>
      <c r="E19" s="36" t="n">
        <f aca="false">E5*'Cohort engine'!E33</f>
        <v>310.722865089935</v>
      </c>
      <c r="F19" s="9" t="s">
        <v>227</v>
      </c>
    </row>
    <row r="20" customFormat="false" ht="15" hidden="false" customHeight="false" outlineLevel="0" collapsed="false">
      <c r="A20" s="9" t="s">
        <v>228</v>
      </c>
      <c r="B20" s="9" t="s">
        <v>116</v>
      </c>
      <c r="C20" s="19" t="n">
        <f aca="false">C19*C11</f>
        <v>28908.6024942553</v>
      </c>
      <c r="D20" s="19" t="n">
        <f aca="false">D19*D11</f>
        <v>234498.415124324</v>
      </c>
      <c r="E20" s="19" t="n">
        <f aca="false">E19*E11</f>
        <v>776807.162724837</v>
      </c>
      <c r="F20" s="9" t="s">
        <v>229</v>
      </c>
    </row>
    <row r="21" customFormat="false" ht="15" hidden="false" customHeight="false" outlineLevel="0" collapsed="false">
      <c r="A21" s="9" t="s">
        <v>230</v>
      </c>
      <c r="B21" s="9" t="s">
        <v>116</v>
      </c>
      <c r="C21" s="19" t="n">
        <f aca="false">C20*C12</f>
        <v>24572.312120117</v>
      </c>
      <c r="D21" s="19" t="n">
        <f aca="false">D20*D12</f>
        <v>199323.652855675</v>
      </c>
      <c r="E21" s="19" t="n">
        <f aca="false">E20*E12</f>
        <v>660286.088316111</v>
      </c>
      <c r="F21" s="9" t="s">
        <v>231</v>
      </c>
    </row>
    <row r="22" customFormat="false" ht="15" hidden="false" customHeight="false" outlineLevel="0" collapsed="false">
      <c r="A22" s="9" t="s">
        <v>232</v>
      </c>
      <c r="B22" s="9" t="s">
        <v>116</v>
      </c>
      <c r="C22" s="24" t="n">
        <f aca="false">'Cost model'!C9*C10+'Cohort engine'!C31*Assumptions!$C$10*Assumptions!$C$31*Assumptions!$C$30*'Cost model'!C11</f>
        <v>444000</v>
      </c>
      <c r="D22" s="24" t="n">
        <f aca="false">'Cost model'!D9*D10+'Cohort engine'!D31*Assumptions!$D$10*Assumptions!$D$31*Assumptions!$D$30*'Cost model'!D11</f>
        <v>444000</v>
      </c>
      <c r="E22" s="24" t="n">
        <f aca="false">'Cost model'!E9*E10+'Cohort engine'!E31*Assumptions!$E$10*Assumptions!$E$31*Assumptions!$E$30*'Cost model'!E11</f>
        <v>444000</v>
      </c>
      <c r="F22" s="9" t="s">
        <v>233</v>
      </c>
    </row>
    <row r="23" customFormat="false" ht="15" hidden="false" customHeight="false" outlineLevel="0" collapsed="false">
      <c r="A23" s="25" t="s">
        <v>234</v>
      </c>
      <c r="B23" s="9" t="s">
        <v>116</v>
      </c>
      <c r="C23" s="26" t="n">
        <f aca="false">C21-C22</f>
        <v>-419427.687879883</v>
      </c>
      <c r="D23" s="26" t="n">
        <f aca="false">D21-D22</f>
        <v>-244676.347144325</v>
      </c>
      <c r="E23" s="26" t="n">
        <f aca="false">E21-E22</f>
        <v>216286.088316111</v>
      </c>
      <c r="F23" s="9" t="s">
        <v>235</v>
      </c>
    </row>
    <row r="24" customFormat="false" ht="15" hidden="false" customHeight="false" outlineLevel="0" collapsed="false">
      <c r="A24" s="9" t="s">
        <v>236</v>
      </c>
      <c r="B24" s="9" t="s">
        <v>73</v>
      </c>
      <c r="C24" s="19" t="n">
        <f aca="false">C23/C10</f>
        <v>-34952.3073233236</v>
      </c>
      <c r="D24" s="19" t="n">
        <f aca="false">D23/D10</f>
        <v>-20389.6955953604</v>
      </c>
      <c r="E24" s="19" t="n">
        <f aca="false">E23/E10</f>
        <v>18023.8406930093</v>
      </c>
      <c r="F24" s="9" t="s">
        <v>237</v>
      </c>
    </row>
    <row r="25" customFormat="false" ht="15" hidden="false" customHeight="false" outlineLevel="0" collapsed="false">
      <c r="A25" s="25" t="s">
        <v>238</v>
      </c>
      <c r="B25" s="9" t="s">
        <v>113</v>
      </c>
      <c r="C25" s="37" t="n">
        <f aca="false">IF(C22=0,0,C23/C22)</f>
        <v>-0.944656954684421</v>
      </c>
      <c r="D25" s="37" t="n">
        <f aca="false">IF(D22=0,0,D23/D22)</f>
        <v>-0.55107285392866</v>
      </c>
      <c r="E25" s="37" t="n">
        <f aca="false">IF(E22=0,0,E23/E22)</f>
        <v>0.487130829540791</v>
      </c>
      <c r="F25" s="9" t="s">
        <v>239</v>
      </c>
    </row>
    <row r="26" customFormat="false" ht="15" hidden="false" customHeight="false" outlineLevel="0" collapsed="false">
      <c r="A26" s="9" t="s">
        <v>240</v>
      </c>
      <c r="B26" s="9" t="s">
        <v>194</v>
      </c>
      <c r="C26" s="14" t="n">
        <f aca="false">IF(C11*C12=0,0,C22/(C11*C12))</f>
        <v>208.941176470588</v>
      </c>
      <c r="D26" s="14" t="n">
        <f aca="false">IF(D11*D12=0,0,D22/(D11*D12))</f>
        <v>208.941176470588</v>
      </c>
      <c r="E26" s="14" t="n">
        <f aca="false">IF(E11*E12=0,0,E22/(E11*E12))</f>
        <v>208.941176470588</v>
      </c>
      <c r="F26" s="9" t="s">
        <v>241</v>
      </c>
    </row>
    <row r="27" customFormat="false" ht="15" hidden="false" customHeight="false" outlineLevel="0" collapsed="false">
      <c r="A27" s="9" t="s">
        <v>242</v>
      </c>
      <c r="B27" s="9" t="s">
        <v>243</v>
      </c>
      <c r="C27" s="21" t="n">
        <f aca="false">IF(C26=0,0,C19/C26)</f>
        <v>0.0553430453155788</v>
      </c>
      <c r="D27" s="21" t="n">
        <f aca="false">IF(D26=0,0,D19/D26)</f>
        <v>0.448927146071341</v>
      </c>
      <c r="E27" s="21" t="n">
        <f aca="false">IF(E26=0,0,E19/E26)</f>
        <v>1.48713082954079</v>
      </c>
      <c r="F27" s="9" t="s">
        <v>244</v>
      </c>
    </row>
    <row r="28" customFormat="false" ht="15" hidden="false" customHeight="false" outlineLevel="0" collapsed="false">
      <c r="A28" s="9" t="s">
        <v>245</v>
      </c>
      <c r="B28" s="9" t="s">
        <v>116</v>
      </c>
      <c r="C28" s="19" t="n">
        <f aca="false">IF(C19&lt;=0,0,C22/C19)</f>
        <v>38396.8751246477</v>
      </c>
      <c r="D28" s="19" t="n">
        <f aca="false">IF(D19&lt;=0,0,D22/D19)</f>
        <v>4733.50747130428</v>
      </c>
      <c r="E28" s="19" t="n">
        <f aca="false">IF(E19&lt;=0,0,E22/E19)</f>
        <v>1428.92606204403</v>
      </c>
      <c r="F28" s="9" t="s">
        <v>246</v>
      </c>
    </row>
    <row r="30" customFormat="false" ht="15" hidden="false" customHeight="false" outlineLevel="0" collapsed="false">
      <c r="A30" s="7" t="s">
        <v>247</v>
      </c>
      <c r="B30" s="8"/>
      <c r="C30" s="8"/>
      <c r="D30" s="8"/>
      <c r="E30" s="8"/>
      <c r="F30" s="8"/>
    </row>
    <row r="31" customFormat="false" ht="15" hidden="false" customHeight="false" outlineLevel="0" collapsed="false">
      <c r="A31" s="9" t="s">
        <v>248</v>
      </c>
      <c r="B31" s="9" t="s">
        <v>192</v>
      </c>
      <c r="C31" s="23" t="n">
        <f aca="false">'Cohort engine'!C31</f>
        <v>1050</v>
      </c>
      <c r="D31" s="23" t="n">
        <f aca="false">'Cohort engine'!D31</f>
        <v>1600</v>
      </c>
      <c r="E31" s="23" t="n">
        <f aca="false">'Cohort engine'!E31</f>
        <v>2250</v>
      </c>
      <c r="F31" s="9" t="s">
        <v>223</v>
      </c>
    </row>
    <row r="32" customFormat="false" ht="15" hidden="false" customHeight="false" outlineLevel="0" collapsed="false">
      <c r="A32" s="9" t="s">
        <v>249</v>
      </c>
      <c r="B32" s="9" t="s">
        <v>250</v>
      </c>
      <c r="C32" s="23" t="n">
        <f aca="false">Assumptions!$C$6*Assumptions!$C$9*Assumptions!$C$8</f>
        <v>52.5</v>
      </c>
      <c r="D32" s="23" t="n">
        <f aca="false">Assumptions!$D$6*Assumptions!$D$9*Assumptions!$D$8</f>
        <v>80</v>
      </c>
      <c r="E32" s="23" t="n">
        <f aca="false">Assumptions!$E$6*Assumptions!$E$9*Assumptions!$E$8</f>
        <v>135</v>
      </c>
      <c r="F32" s="9" t="s">
        <v>251</v>
      </c>
    </row>
    <row r="33" customFormat="false" ht="15" hidden="false" customHeight="false" outlineLevel="0" collapsed="false">
      <c r="A33" s="9" t="s">
        <v>252</v>
      </c>
      <c r="B33" s="9" t="s">
        <v>192</v>
      </c>
      <c r="C33" s="23" t="n">
        <f aca="false">'Cohort engine'!C34</f>
        <v>1627.5</v>
      </c>
      <c r="D33" s="23" t="n">
        <f aca="false">'Cohort engine'!D34</f>
        <v>2480</v>
      </c>
      <c r="E33" s="23" t="n">
        <f aca="false">'Cohort engine'!E34</f>
        <v>3735</v>
      </c>
      <c r="F33" s="9" t="s">
        <v>223</v>
      </c>
    </row>
    <row r="34" customFormat="false" ht="15" hidden="false" customHeight="false" outlineLevel="0" collapsed="false">
      <c r="A34" s="9" t="s">
        <v>224</v>
      </c>
      <c r="B34" s="9" t="s">
        <v>192</v>
      </c>
      <c r="C34" s="14" t="n">
        <f aca="false">C33*C5</f>
        <v>36.61875</v>
      </c>
      <c r="D34" s="14" t="n">
        <f aca="false">D33*D5</f>
        <v>194.7296</v>
      </c>
      <c r="E34" s="14" t="n">
        <f aca="false">E33*E5</f>
        <v>509.454</v>
      </c>
      <c r="F34" s="9" t="s">
        <v>225</v>
      </c>
    </row>
    <row r="35" customFormat="false" ht="15" hidden="false" customHeight="false" outlineLevel="0" collapsed="false">
      <c r="A35" s="25" t="s">
        <v>253</v>
      </c>
      <c r="B35" s="9" t="s">
        <v>194</v>
      </c>
      <c r="C35" s="36" t="n">
        <f aca="false">C5*'Cohort engine'!C36</f>
        <v>13.6891751057235</v>
      </c>
      <c r="D35" s="36" t="n">
        <f aca="false">D5*'Cohort engine'!D36</f>
        <v>110.946430549251</v>
      </c>
      <c r="E35" s="36" t="n">
        <f aca="false">E5*'Cohort engine'!E36</f>
        <v>378.501309368677</v>
      </c>
      <c r="F35" s="9" t="s">
        <v>254</v>
      </c>
    </row>
    <row r="36" customFormat="false" ht="15" hidden="false" customHeight="false" outlineLevel="0" collapsed="false">
      <c r="A36" s="9" t="s">
        <v>228</v>
      </c>
      <c r="B36" s="9" t="s">
        <v>116</v>
      </c>
      <c r="C36" s="19" t="n">
        <f aca="false">C35*C11</f>
        <v>34222.9377643087</v>
      </c>
      <c r="D36" s="19" t="n">
        <f aca="false">D35*D11</f>
        <v>277366.076373127</v>
      </c>
      <c r="E36" s="19" t="n">
        <f aca="false">E35*E11</f>
        <v>946253.273421693</v>
      </c>
      <c r="F36" s="9" t="s">
        <v>229</v>
      </c>
    </row>
    <row r="37" customFormat="false" ht="15" hidden="false" customHeight="false" outlineLevel="0" collapsed="false">
      <c r="A37" s="9" t="s">
        <v>230</v>
      </c>
      <c r="B37" s="9" t="s">
        <v>116</v>
      </c>
      <c r="C37" s="19" t="n">
        <f aca="false">C36*C12</f>
        <v>29089.4970996624</v>
      </c>
      <c r="D37" s="19" t="n">
        <f aca="false">D36*D12</f>
        <v>235761.164917158</v>
      </c>
      <c r="E37" s="19" t="n">
        <f aca="false">E36*E12</f>
        <v>804315.282408439</v>
      </c>
      <c r="F37" s="9" t="s">
        <v>231</v>
      </c>
    </row>
    <row r="38" customFormat="false" ht="15" hidden="false" customHeight="false" outlineLevel="0" collapsed="false">
      <c r="A38" s="9" t="s">
        <v>232</v>
      </c>
      <c r="B38" s="9" t="s">
        <v>116</v>
      </c>
      <c r="C38" s="24" t="n">
        <f aca="false">'Cost model'!C9*C10+'Cohort engine'!C34*Assumptions!$C$10*Assumptions!$C$31*Assumptions!$C$30*'Cost model'!C11</f>
        <v>444000</v>
      </c>
      <c r="D38" s="24" t="n">
        <f aca="false">'Cost model'!D9*D10+'Cohort engine'!D34*Assumptions!$D$10*Assumptions!$D$31*Assumptions!$D$30*'Cost model'!D11</f>
        <v>444000</v>
      </c>
      <c r="E38" s="24" t="n">
        <f aca="false">'Cost model'!E9*E10+'Cohort engine'!E34*Assumptions!$E$10*Assumptions!$E$31*Assumptions!$E$30*'Cost model'!E11</f>
        <v>444000</v>
      </c>
      <c r="F38" s="9" t="s">
        <v>255</v>
      </c>
    </row>
    <row r="39" customFormat="false" ht="15" hidden="false" customHeight="false" outlineLevel="0" collapsed="false">
      <c r="A39" s="25" t="s">
        <v>234</v>
      </c>
      <c r="B39" s="9" t="s">
        <v>116</v>
      </c>
      <c r="C39" s="26" t="n">
        <f aca="false">C37-C38</f>
        <v>-414910.502900338</v>
      </c>
      <c r="D39" s="26" t="n">
        <f aca="false">D37-D38</f>
        <v>-208238.835082842</v>
      </c>
      <c r="E39" s="26" t="n">
        <f aca="false">E37-E38</f>
        <v>360315.282408439</v>
      </c>
      <c r="F39" s="9" t="s">
        <v>235</v>
      </c>
    </row>
    <row r="40" customFormat="false" ht="15" hidden="false" customHeight="false" outlineLevel="0" collapsed="false">
      <c r="A40" s="9" t="s">
        <v>236</v>
      </c>
      <c r="B40" s="9" t="s">
        <v>73</v>
      </c>
      <c r="C40" s="19" t="n">
        <f aca="false">C39/C10</f>
        <v>-34575.8752416948</v>
      </c>
      <c r="D40" s="19" t="n">
        <f aca="false">D39/D10</f>
        <v>-17353.2362569035</v>
      </c>
      <c r="E40" s="19" t="n">
        <f aca="false">E39/E10</f>
        <v>30026.2735340366</v>
      </c>
      <c r="F40" s="9" t="s">
        <v>237</v>
      </c>
    </row>
    <row r="41" customFormat="false" ht="15" hidden="false" customHeight="false" outlineLevel="0" collapsed="false">
      <c r="A41" s="25" t="s">
        <v>238</v>
      </c>
      <c r="B41" s="9" t="s">
        <v>113</v>
      </c>
      <c r="C41" s="37" t="n">
        <f aca="false">IF(C38=0,0,C39/C38)</f>
        <v>-0.9344831146404</v>
      </c>
      <c r="D41" s="37" t="n">
        <f aca="false">IF(D38=0,0,D39/D38)</f>
        <v>-0.469006385321716</v>
      </c>
      <c r="E41" s="37" t="n">
        <f aca="false">IF(E38=0,0,E39/E38)</f>
        <v>0.811520906325314</v>
      </c>
      <c r="F41" s="9" t="s">
        <v>239</v>
      </c>
    </row>
    <row r="42" customFormat="false" ht="15" hidden="false" customHeight="false" outlineLevel="0" collapsed="false">
      <c r="A42" s="9" t="s">
        <v>240</v>
      </c>
      <c r="B42" s="9" t="s">
        <v>194</v>
      </c>
      <c r="C42" s="14" t="n">
        <f aca="false">IF(C11*C12=0,0,C38/(C11*C12))</f>
        <v>208.941176470588</v>
      </c>
      <c r="D42" s="14" t="n">
        <f aca="false">IF(D11*D12=0,0,D38/(D11*D12))</f>
        <v>208.941176470588</v>
      </c>
      <c r="E42" s="14" t="n">
        <f aca="false">IF(E11*E12=0,0,E38/(E11*E12))</f>
        <v>208.941176470588</v>
      </c>
      <c r="F42" s="9" t="s">
        <v>241</v>
      </c>
    </row>
    <row r="43" customFormat="false" ht="15" hidden="false" customHeight="false" outlineLevel="0" collapsed="false">
      <c r="A43" s="9" t="s">
        <v>242</v>
      </c>
      <c r="B43" s="9" t="s">
        <v>243</v>
      </c>
      <c r="C43" s="21" t="n">
        <f aca="false">IF(C42=0,0,C35/C42)</f>
        <v>0.0655168853596</v>
      </c>
      <c r="D43" s="21" t="n">
        <f aca="false">IF(D42=0,0,D35/D42)</f>
        <v>0.530993614678284</v>
      </c>
      <c r="E43" s="21" t="n">
        <f aca="false">IF(E42=0,0,E35/E42)</f>
        <v>1.81152090632531</v>
      </c>
      <c r="F43" s="9" t="s">
        <v>244</v>
      </c>
    </row>
    <row r="44" customFormat="false" ht="15" hidden="false" customHeight="false" outlineLevel="0" collapsed="false">
      <c r="A44" s="9" t="s">
        <v>245</v>
      </c>
      <c r="B44" s="9" t="s">
        <v>116</v>
      </c>
      <c r="C44" s="19" t="n">
        <f aca="false">IF(C35&lt;=0,0,C38/C35)</f>
        <v>32434.3867742887</v>
      </c>
      <c r="D44" s="19" t="n">
        <f aca="false">IF(D35&lt;=0,0,D38/D35)</f>
        <v>4001.93136274809</v>
      </c>
      <c r="E44" s="19" t="n">
        <f aca="false">IF(E35&lt;=0,0,E38/E35)</f>
        <v>1173.04746115825</v>
      </c>
      <c r="F44" s="9" t="s">
        <v>256</v>
      </c>
    </row>
    <row r="46" customFormat="false" ht="15" hidden="false" customHeight="false" outlineLevel="0" collapsed="false">
      <c r="A46" s="9" t="s">
        <v>257</v>
      </c>
    </row>
    <row r="47" customFormat="false" ht="15" hidden="false" customHeight="false" outlineLevel="0" collapsed="false">
      <c r="A47" s="9" t="s">
        <v>258</v>
      </c>
    </row>
    <row r="48" customFormat="false" ht="15" hidden="false" customHeight="false" outlineLevel="0" collapsed="false">
      <c r="A48" s="9" t="s">
        <v>259</v>
      </c>
    </row>
    <row r="50" customFormat="false" ht="15" hidden="false" customHeight="false" outlineLevel="0" collapsed="false">
      <c r="A50" s="7" t="s">
        <v>260</v>
      </c>
      <c r="B50" s="8"/>
      <c r="C50" s="8"/>
      <c r="D50" s="8"/>
      <c r="E50" s="8"/>
      <c r="F50" s="8"/>
      <c r="G50" s="8"/>
    </row>
    <row r="51" customFormat="false" ht="15" hidden="false" customHeight="false" outlineLevel="0" collapsed="false">
      <c r="A51" s="25" t="s">
        <v>261</v>
      </c>
    </row>
    <row r="52" customFormat="false" ht="15" hidden="false" customHeight="false" outlineLevel="0" collapsed="false">
      <c r="A52" s="25" t="s">
        <v>262</v>
      </c>
      <c r="B52" s="38" t="n">
        <v>0.15</v>
      </c>
      <c r="C52" s="35" t="n">
        <f aca="false">'Adoption funnel'!$D$10</f>
        <v>0.12852</v>
      </c>
      <c r="D52" s="38" t="n">
        <v>0.1</v>
      </c>
      <c r="E52" s="38" t="n">
        <v>0.08</v>
      </c>
      <c r="F52" s="38" t="n">
        <v>0.06</v>
      </c>
      <c r="G52" s="38" t="n">
        <v>0.05</v>
      </c>
    </row>
    <row r="53" customFormat="false" ht="15" hidden="false" customHeight="false" outlineLevel="0" collapsed="false">
      <c r="A53" s="39" t="n">
        <v>0.03</v>
      </c>
      <c r="B53" s="16" t="n">
        <f aca="false">IF($D$22=0,0,((B$52-Assumptions!$D$15)*'Cohort engine'!$I$5*((1-$A53)*(1-(1-$A53)^'Cohort engine'!$K$5)/$A53-'Cohort engine'!$M$5)*$D$11*$D$12-$D$22)/$D$22)</f>
        <v>-0.224695559705022</v>
      </c>
      <c r="C53" s="16" t="n">
        <f aca="false">IF($D$22=0,0,((C$52-Assumptions!$D$15)*'Cohort engine'!$I$5*((1-$A53)*(1-(1-$A53)^'Cohort engine'!$K$5)/$A53-'Cohort engine'!$M$5)*$D$11*$D$12-$D$22)/$D$22)</f>
        <v>-0.391230953480383</v>
      </c>
      <c r="D53" s="16" t="n">
        <f aca="false">IF($D$22=0,0,((D$52-Assumptions!$D$15)*'Cohort engine'!$I$5*((1-$A53)*(1-(1-$A53)^'Cohort engine'!$K$5)/$A53-'Cohort engine'!$M$5)*$D$11*$D$12-$D$22)/$D$22)</f>
        <v>-0.612347779852511</v>
      </c>
      <c r="E53" s="16" t="n">
        <f aca="false">IF($D$22=0,0,((E$52-Assumptions!$D$15)*'Cohort engine'!$I$5*((1-$A53)*(1-(1-$A53)^'Cohort engine'!$K$5)/$A53-'Cohort engine'!$M$5)*$D$11*$D$12-$D$22)/$D$22)</f>
        <v>-0.767408667911507</v>
      </c>
      <c r="F53" s="16" t="n">
        <f aca="false">IF($D$22=0,0,((F$52-Assumptions!$D$15)*'Cohort engine'!$I$5*((1-$A53)*(1-(1-$A53)^'Cohort engine'!$K$5)/$A53-'Cohort engine'!$M$5)*$D$11*$D$12-$D$22)/$D$22)</f>
        <v>-0.922469555970502</v>
      </c>
      <c r="G53" s="16" t="n">
        <f aca="false">IF($D$22=0,0,((G$52-Assumptions!$D$15)*'Cohort engine'!$I$5*((1-$A53)*(1-(1-$A53)^'Cohort engine'!$K$5)/$A53-'Cohort engine'!$M$5)*$D$11*$D$12-$D$22)/$D$22)</f>
        <v>-1</v>
      </c>
    </row>
    <row r="54" customFormat="false" ht="15" hidden="false" customHeight="false" outlineLevel="0" collapsed="false">
      <c r="A54" s="32" t="n">
        <f aca="false">Assumptions!$D$18</f>
        <v>0.035</v>
      </c>
      <c r="B54" s="16" t="n">
        <f aca="false">IF($D$22=0,0,((B$52-Assumptions!$D$15)*'Cohort engine'!$I$5*((1-$A54)*(1-(1-$A54)^'Cohort engine'!$K$5)/$A54-'Cohort engine'!$M$5)*$D$11*$D$12-$D$22)/$D$22)</f>
        <v>-0.428263950494976</v>
      </c>
      <c r="C54" s="16" t="n">
        <f aca="false">IF($D$22=0,0,((C$52-Assumptions!$D$15)*'Cohort engine'!$I$5*((1-$A54)*(1-(1-$A54)^'Cohort engine'!$K$5)/$A54-'Cohort engine'!$M$5)*$D$11*$D$12-$D$22)/$D$22)</f>
        <v>-0.551072853928655</v>
      </c>
      <c r="D54" s="16" t="n">
        <f aca="false">IF($D$22=0,0,((D$52-Assumptions!$D$15)*'Cohort engine'!$I$5*((1-$A54)*(1-(1-$A54)^'Cohort engine'!$K$5)/$A54-'Cohort engine'!$M$5)*$D$11*$D$12-$D$22)/$D$22)</f>
        <v>-0.714131975247488</v>
      </c>
      <c r="E54" s="16" t="n">
        <f aca="false">IF($D$22=0,0,((E$52-Assumptions!$D$15)*'Cohort engine'!$I$5*((1-$A54)*(1-(1-$A54)^'Cohort engine'!$K$5)/$A54-'Cohort engine'!$M$5)*$D$11*$D$12-$D$22)/$D$22)</f>
        <v>-0.828479185148493</v>
      </c>
      <c r="F54" s="16" t="n">
        <f aca="false">IF($D$22=0,0,((F$52-Assumptions!$D$15)*'Cohort engine'!$I$5*((1-$A54)*(1-(1-$A54)^'Cohort engine'!$K$5)/$A54-'Cohort engine'!$M$5)*$D$11*$D$12-$D$22)/$D$22)</f>
        <v>-0.942826395049498</v>
      </c>
      <c r="G54" s="16" t="n">
        <f aca="false">IF($D$22=0,0,((G$52-Assumptions!$D$15)*'Cohort engine'!$I$5*((1-$A54)*(1-(1-$A54)^'Cohort engine'!$K$5)/$A54-'Cohort engine'!$M$5)*$D$11*$D$12-$D$22)/$D$22)</f>
        <v>-1</v>
      </c>
    </row>
    <row r="55" customFormat="false" ht="15" hidden="false" customHeight="false" outlineLevel="0" collapsed="false">
      <c r="A55" s="39" t="n">
        <v>0.04</v>
      </c>
      <c r="B55" s="16" t="n">
        <f aca="false">IF($D$22=0,0,((B$52-Assumptions!$D$15)*'Cohort engine'!$I$5*((1-$A55)*(1-(1-$A55)^'Cohort engine'!$K$5)/$A55-'Cohort engine'!$M$5)*$D$11*$D$12-$D$22)/$D$22)</f>
        <v>-0.625189957651101</v>
      </c>
      <c r="C55" s="16" t="n">
        <f aca="false">IF($D$22=0,0,((C$52-Assumptions!$D$15)*'Cohort engine'!$I$5*((1-$A55)*(1-(1-$A55)^'Cohort engine'!$K$5)/$A55-'Cohort engine'!$M$5)*$D$11*$D$12-$D$22)/$D$22)</f>
        <v>-0.705699154747645</v>
      </c>
      <c r="D55" s="16" t="n">
        <f aca="false">IF($D$22=0,0,((D$52-Assumptions!$D$15)*'Cohort engine'!$I$5*((1-$A55)*(1-(1-$A55)^'Cohort engine'!$K$5)/$A55-'Cohort engine'!$M$5)*$D$11*$D$12-$D$22)/$D$22)</f>
        <v>-0.81259497882555</v>
      </c>
      <c r="E55" s="16" t="n">
        <f aca="false">IF($D$22=0,0,((E$52-Assumptions!$D$15)*'Cohort engine'!$I$5*((1-$A55)*(1-(1-$A55)^'Cohort engine'!$K$5)/$A55-'Cohort engine'!$M$5)*$D$11*$D$12-$D$22)/$D$22)</f>
        <v>-0.88755698729533</v>
      </c>
      <c r="F55" s="16" t="n">
        <f aca="false">IF($D$22=0,0,((F$52-Assumptions!$D$15)*'Cohort engine'!$I$5*((1-$A55)*(1-(1-$A55)^'Cohort engine'!$K$5)/$A55-'Cohort engine'!$M$5)*$D$11*$D$12-$D$22)/$D$22)</f>
        <v>-0.96251899576511</v>
      </c>
      <c r="G55" s="16" t="n">
        <f aca="false">IF($D$22=0,0,((G$52-Assumptions!$D$15)*'Cohort engine'!$I$5*((1-$A55)*(1-(1-$A55)^'Cohort engine'!$K$5)/$A55-'Cohort engine'!$M$5)*$D$11*$D$12-$D$22)/$D$22)</f>
        <v>-1</v>
      </c>
    </row>
    <row r="56" customFormat="false" ht="15" hidden="false" customHeight="false" outlineLevel="0" collapsed="false">
      <c r="A56" s="39" t="n">
        <v>0.045</v>
      </c>
      <c r="B56" s="16" t="n">
        <f aca="false">IF($D$22=0,0,((B$52-Assumptions!$D$15)*'Cohort engine'!$I$5*((1-$A56)*(1-(1-$A56)^'Cohort engine'!$K$5)/$A56-'Cohort engine'!$M$5)*$D$11*$D$12-$D$22)/$D$22)</f>
        <v>-0.815696671305062</v>
      </c>
      <c r="C56" s="16" t="n">
        <f aca="false">IF($D$22=0,0,((C$52-Assumptions!$D$15)*'Cohort engine'!$I$5*((1-$A56)*(1-(1-$A56)^'Cohort engine'!$K$5)/$A56-'Cohort engine'!$M$5)*$D$11*$D$12-$D$22)/$D$22)</f>
        <v>-0.855285026308735</v>
      </c>
      <c r="D56" s="16" t="n">
        <f aca="false">IF($D$22=0,0,((D$52-Assumptions!$D$15)*'Cohort engine'!$I$5*((1-$A56)*(1-(1-$A56)^'Cohort engine'!$K$5)/$A56-'Cohort engine'!$M$5)*$D$11*$D$12-$D$22)/$D$22)</f>
        <v>-0.907848335652531</v>
      </c>
      <c r="E56" s="16" t="n">
        <f aca="false">IF($D$22=0,0,((E$52-Assumptions!$D$15)*'Cohort engine'!$I$5*((1-$A56)*(1-(1-$A56)^'Cohort engine'!$K$5)/$A56-'Cohort engine'!$M$5)*$D$11*$D$12-$D$22)/$D$22)</f>
        <v>-0.944709001391519</v>
      </c>
      <c r="F56" s="16" t="n">
        <f aca="false">IF($D$22=0,0,((F$52-Assumptions!$D$15)*'Cohort engine'!$I$5*((1-$A56)*(1-(1-$A56)^'Cohort engine'!$K$5)/$A56-'Cohort engine'!$M$5)*$D$11*$D$12-$D$22)/$D$22)</f>
        <v>-0.981569667130506</v>
      </c>
      <c r="G56" s="16" t="n">
        <f aca="false">IF($D$22=0,0,((G$52-Assumptions!$D$15)*'Cohort engine'!$I$5*((1-$A56)*(1-(1-$A56)^'Cohort engine'!$K$5)/$A56-'Cohort engine'!$M$5)*$D$11*$D$12-$D$22)/$D$22)</f>
        <v>-1</v>
      </c>
    </row>
    <row r="57" customFormat="false" ht="15" hidden="false" customHeight="false" outlineLevel="0" collapsed="false">
      <c r="A57" s="39" t="n">
        <v>0.05</v>
      </c>
      <c r="B57" s="16" t="n">
        <f aca="false">IF($D$22=0,0,((B$52-Assumptions!$D$15)*'Cohort engine'!$I$5*((1-$A57)*(1-(1-$A57)^'Cohort engine'!$K$5)/$A57-'Cohort engine'!$M$5)*$D$11*$D$12-$D$22)/$D$22)</f>
        <v>-1</v>
      </c>
      <c r="C57" s="16" t="n">
        <f aca="false">IF($D$22=0,0,((C$52-Assumptions!$D$15)*'Cohort engine'!$I$5*((1-$A57)*(1-(1-$A57)^'Cohort engine'!$K$5)/$A57-'Cohort engine'!$M$5)*$D$11*$D$12-$D$22)/$D$22)</f>
        <v>-1</v>
      </c>
      <c r="D57" s="16" t="n">
        <f aca="false">IF($D$22=0,0,((D$52-Assumptions!$D$15)*'Cohort engine'!$I$5*((1-$A57)*(1-(1-$A57)^'Cohort engine'!$K$5)/$A57-'Cohort engine'!$M$5)*$D$11*$D$12-$D$22)/$D$22)</f>
        <v>-1</v>
      </c>
      <c r="E57" s="16" t="n">
        <f aca="false">IF($D$22=0,0,((E$52-Assumptions!$D$15)*'Cohort engine'!$I$5*((1-$A57)*(1-(1-$A57)^'Cohort engine'!$K$5)/$A57-'Cohort engine'!$M$5)*$D$11*$D$12-$D$22)/$D$22)</f>
        <v>-1</v>
      </c>
      <c r="F57" s="16" t="n">
        <f aca="false">IF($D$22=0,0,((F$52-Assumptions!$D$15)*'Cohort engine'!$I$5*((1-$A57)*(1-(1-$A57)^'Cohort engine'!$K$5)/$A57-'Cohort engine'!$M$5)*$D$11*$D$12-$D$22)/$D$22)</f>
        <v>-1</v>
      </c>
      <c r="G57" s="16" t="n">
        <f aca="false">IF($D$22=0,0,((G$52-Assumptions!$D$15)*'Cohort engine'!$I$5*((1-$A57)*(1-(1-$A57)^'Cohort engine'!$K$5)/$A57-'Cohort engine'!$M$5)*$D$11*$D$12-$D$22)/$D$22)</f>
        <v>-1</v>
      </c>
    </row>
    <row r="60" customFormat="false" ht="15" hidden="false" customHeight="false" outlineLevel="0" collapsed="false">
      <c r="A60" s="25" t="s">
        <v>263</v>
      </c>
    </row>
    <row r="61" customFormat="false" ht="15" hidden="false" customHeight="false" outlineLevel="0" collapsed="false">
      <c r="A61" s="25" t="s">
        <v>262</v>
      </c>
      <c r="B61" s="38" t="n">
        <v>0.15</v>
      </c>
      <c r="C61" s="35" t="n">
        <f aca="false">'Adoption funnel'!$D$10</f>
        <v>0.12852</v>
      </c>
      <c r="D61" s="38" t="n">
        <v>0.1</v>
      </c>
      <c r="E61" s="38" t="n">
        <v>0.08</v>
      </c>
      <c r="F61" s="38" t="n">
        <v>0.06</v>
      </c>
      <c r="G61" s="38" t="n">
        <v>0.05</v>
      </c>
    </row>
    <row r="62" customFormat="false" ht="15" hidden="false" customHeight="false" outlineLevel="0" collapsed="false">
      <c r="A62" s="39" t="n">
        <v>0.03</v>
      </c>
      <c r="B62" s="16" t="n">
        <f aca="false">IF($D$38=0,0,((B$61-Assumptions!$D$15)*(SUMPRODUCT('Cohort engine'!$I$5:$I$28,(1-$A62)*(1-(1-$A62)^'Cohort engine'!$K$5:$K$28)/$A62)-SUMPRODUCT('Cohort engine'!$I$5:$I$28,'Cohort engine'!$M$5:$M$28))*$D$11*$D$12-$D$38)/$D$38)</f>
        <v>-0.0837636267042498</v>
      </c>
      <c r="C62" s="16" t="n">
        <f aca="false">IF($D$38=0,0,((C$61-Assumptions!$D$15)*(SUMPRODUCT('Cohort engine'!$I$5:$I$28,(1-$A62)*(1-(1-$A62)^'Cohort engine'!$K$5:$K$28)/$A62)-SUMPRODUCT('Cohort engine'!$I$5:$I$28,'Cohort engine'!$M$5:$M$28))*$D$11*$D$12-$D$38)/$D$38)</f>
        <v>-0.280571199688177</v>
      </c>
      <c r="D62" s="16" t="n">
        <f aca="false">IF($D$38=0,0,((D$61-Assumptions!$D$15)*(SUMPRODUCT('Cohort engine'!$I$5:$I$28,(1-$A62)*(1-(1-$A62)^'Cohort engine'!$K$5:$K$28)/$A62)-SUMPRODUCT('Cohort engine'!$I$5:$I$28,'Cohort engine'!$M$5:$M$28))*$D$11*$D$12-$D$38)/$D$38)</f>
        <v>-0.541881813352125</v>
      </c>
      <c r="E62" s="16" t="n">
        <f aca="false">IF($D$38=0,0,((E$61-Assumptions!$D$15)*(SUMPRODUCT('Cohort engine'!$I$5:$I$28,(1-$A62)*(1-(1-$A62)^'Cohort engine'!$K$5:$K$28)/$A62)-SUMPRODUCT('Cohort engine'!$I$5:$I$28,'Cohort engine'!$M$5:$M$28))*$D$11*$D$12-$D$38)/$D$38)</f>
        <v>-0.725129088011275</v>
      </c>
      <c r="F62" s="16" t="n">
        <f aca="false">IF($D$38=0,0,((F$61-Assumptions!$D$15)*(SUMPRODUCT('Cohort engine'!$I$5:$I$28,(1-$A62)*(1-(1-$A62)^'Cohort engine'!$K$5:$K$28)/$A62)-SUMPRODUCT('Cohort engine'!$I$5:$I$28,'Cohort engine'!$M$5:$M$28))*$D$11*$D$12-$D$38)/$D$38)</f>
        <v>-0.908376362670425</v>
      </c>
      <c r="G62" s="16" t="n">
        <f aca="false">IF($D$38=0,0,((G$61-Assumptions!$D$15)*(SUMPRODUCT('Cohort engine'!$I$5:$I$28,(1-$A62)*(1-(1-$A62)^'Cohort engine'!$K$5:$K$28)/$A62)-SUMPRODUCT('Cohort engine'!$I$5:$I$28,'Cohort engine'!$M$5:$M$28))*$D$11*$D$12-$D$38)/$D$38)</f>
        <v>-1</v>
      </c>
    </row>
    <row r="63" customFormat="false" ht="15" hidden="false" customHeight="false" outlineLevel="0" collapsed="false">
      <c r="A63" s="32" t="n">
        <f aca="false">Assumptions!$D$18</f>
        <v>0.035</v>
      </c>
      <c r="B63" s="16" t="n">
        <f aca="false">IF($D$38=0,0,((B$61-Assumptions!$D$15)*(SUMPRODUCT('Cohort engine'!$I$5:$I$28,(1-$A63)*(1-(1-$A63)^'Cohort engine'!$K$5:$K$28)/$A63)-SUMPRODUCT('Cohort engine'!$I$5:$I$28,'Cohort engine'!$M$5:$M$28))*$D$11*$D$12-$D$38)/$D$38)</f>
        <v>-0.323747306828464</v>
      </c>
      <c r="C63" s="16" t="n">
        <f aca="false">IF($D$38=0,0,((C$61-Assumptions!$D$15)*(SUMPRODUCT('Cohort engine'!$I$5:$I$28,(1-$A63)*(1-(1-$A63)^'Cohort engine'!$K$5:$K$28)/$A63)-SUMPRODUCT('Cohort engine'!$I$5:$I$28,'Cohort engine'!$M$5:$M$28))*$D$11*$D$12-$D$38)/$D$38)</f>
        <v>-0.469006385321709</v>
      </c>
      <c r="D63" s="16" t="n">
        <f aca="false">IF($D$38=0,0,((D$61-Assumptions!$D$15)*(SUMPRODUCT('Cohort engine'!$I$5:$I$28,(1-$A63)*(1-(1-$A63)^'Cohort engine'!$K$5:$K$28)/$A63)-SUMPRODUCT('Cohort engine'!$I$5:$I$28,'Cohort engine'!$M$5:$M$28))*$D$11*$D$12-$D$38)/$D$38)</f>
        <v>-0.661873653414232</v>
      </c>
      <c r="E63" s="16" t="n">
        <f aca="false">IF($D$38=0,0,((E$61-Assumptions!$D$15)*(SUMPRODUCT('Cohort engine'!$I$5:$I$28,(1-$A63)*(1-(1-$A63)^'Cohort engine'!$K$5:$K$28)/$A63)-SUMPRODUCT('Cohort engine'!$I$5:$I$28,'Cohort engine'!$M$5:$M$28))*$D$11*$D$12-$D$38)/$D$38)</f>
        <v>-0.797124192048539</v>
      </c>
      <c r="F63" s="16" t="n">
        <f aca="false">IF($D$38=0,0,((F$61-Assumptions!$D$15)*(SUMPRODUCT('Cohort engine'!$I$5:$I$28,(1-$A63)*(1-(1-$A63)^'Cohort engine'!$K$5:$K$28)/$A63)-SUMPRODUCT('Cohort engine'!$I$5:$I$28,'Cohort engine'!$M$5:$M$28))*$D$11*$D$12-$D$38)/$D$38)</f>
        <v>-0.932374730682846</v>
      </c>
      <c r="G63" s="16" t="n">
        <f aca="false">IF($D$38=0,0,((G$61-Assumptions!$D$15)*(SUMPRODUCT('Cohort engine'!$I$5:$I$28,(1-$A63)*(1-(1-$A63)^'Cohort engine'!$K$5:$K$28)/$A63)-SUMPRODUCT('Cohort engine'!$I$5:$I$28,'Cohort engine'!$M$5:$M$28))*$D$11*$D$12-$D$38)/$D$38)</f>
        <v>-1</v>
      </c>
    </row>
    <row r="64" customFormat="false" ht="15" hidden="false" customHeight="false" outlineLevel="0" collapsed="false">
      <c r="A64" s="39" t="n">
        <v>0.04</v>
      </c>
      <c r="B64" s="16" t="n">
        <f aca="false">IF($D$38=0,0,((B$61-Assumptions!$D$15)*(SUMPRODUCT('Cohort engine'!$I$5:$I$28,(1-$A64)*(1-(1-$A64)^'Cohort engine'!$K$5:$K$28)/$A64)-SUMPRODUCT('Cohort engine'!$I$5:$I$28,'Cohort engine'!$M$5:$M$28))*$D$11*$D$12-$D$38)/$D$38)</f>
        <v>-0.556287760527571</v>
      </c>
      <c r="C64" s="16" t="n">
        <f aca="false">IF($D$38=0,0,((C$61-Assumptions!$D$15)*(SUMPRODUCT('Cohort engine'!$I$5:$I$28,(1-$A64)*(1-(1-$A64)^'Cohort engine'!$K$5:$K$28)/$A64)-SUMPRODUCT('Cohort engine'!$I$5:$I$28,'Cohort engine'!$M$5:$M$28))*$D$11*$D$12-$D$38)/$D$38)</f>
        <v>-0.651597149566248</v>
      </c>
      <c r="D64" s="16" t="n">
        <f aca="false">IF($D$38=0,0,((D$61-Assumptions!$D$15)*(SUMPRODUCT('Cohort engine'!$I$5:$I$28,(1-$A64)*(1-(1-$A64)^'Cohort engine'!$K$5:$K$28)/$A64)-SUMPRODUCT('Cohort engine'!$I$5:$I$28,'Cohort engine'!$M$5:$M$28))*$D$11*$D$12-$D$38)/$D$38)</f>
        <v>-0.778143880263785</v>
      </c>
      <c r="E64" s="16" t="n">
        <f aca="false">IF($D$38=0,0,((E$61-Assumptions!$D$15)*(SUMPRODUCT('Cohort engine'!$I$5:$I$28,(1-$A64)*(1-(1-$A64)^'Cohort engine'!$K$5:$K$28)/$A64)-SUMPRODUCT('Cohort engine'!$I$5:$I$28,'Cohort engine'!$M$5:$M$28))*$D$11*$D$12-$D$38)/$D$38)</f>
        <v>-0.866886328158271</v>
      </c>
      <c r="F64" s="16" t="n">
        <f aca="false">IF($D$38=0,0,((F$61-Assumptions!$D$15)*(SUMPRODUCT('Cohort engine'!$I$5:$I$28,(1-$A64)*(1-(1-$A64)^'Cohort engine'!$K$5:$K$28)/$A64)-SUMPRODUCT('Cohort engine'!$I$5:$I$28,'Cohort engine'!$M$5:$M$28))*$D$11*$D$12-$D$38)/$D$38)</f>
        <v>-0.955628776052757</v>
      </c>
      <c r="G64" s="16" t="n">
        <f aca="false">IF($D$38=0,0,((G$61-Assumptions!$D$15)*(SUMPRODUCT('Cohort engine'!$I$5:$I$28,(1-$A64)*(1-(1-$A64)^'Cohort engine'!$K$5:$K$28)/$A64)-SUMPRODUCT('Cohort engine'!$I$5:$I$28,'Cohort engine'!$M$5:$M$28))*$D$11*$D$12-$D$38)/$D$38)</f>
        <v>-1</v>
      </c>
    </row>
    <row r="65" customFormat="false" ht="15" hidden="false" customHeight="false" outlineLevel="0" collapsed="false">
      <c r="A65" s="39" t="n">
        <v>0.045</v>
      </c>
      <c r="B65" s="16" t="n">
        <f aca="false">IF($D$38=0,0,((B$61-Assumptions!$D$15)*(SUMPRODUCT('Cohort engine'!$I$5:$I$28,(1-$A65)*(1-(1-$A65)^'Cohort engine'!$K$5:$K$28)/$A65)-SUMPRODUCT('Cohort engine'!$I$5:$I$28,'Cohort engine'!$M$5:$M$28))*$D$11*$D$12-$D$38)/$D$38)</f>
        <v>-0.781627147606253</v>
      </c>
      <c r="C65" s="16" t="n">
        <f aca="false">IF($D$38=0,0,((C$61-Assumptions!$D$15)*(SUMPRODUCT('Cohort engine'!$I$5:$I$28,(1-$A65)*(1-(1-$A65)^'Cohort engine'!$K$5:$K$28)/$A65)-SUMPRODUCT('Cohort engine'!$I$5:$I$28,'Cohort engine'!$M$5:$M$28))*$D$11*$D$12-$D$38)/$D$38)</f>
        <v>-0.82853363630043</v>
      </c>
      <c r="D65" s="16" t="n">
        <f aca="false">IF($D$38=0,0,((D$61-Assumptions!$D$15)*(SUMPRODUCT('Cohort engine'!$I$5:$I$28,(1-$A65)*(1-(1-$A65)^'Cohort engine'!$K$5:$K$28)/$A65)-SUMPRODUCT('Cohort engine'!$I$5:$I$28,'Cohort engine'!$M$5:$M$28))*$D$11*$D$12-$D$38)/$D$38)</f>
        <v>-0.890813573803126</v>
      </c>
      <c r="E65" s="16" t="n">
        <f aca="false">IF($D$38=0,0,((E$61-Assumptions!$D$15)*(SUMPRODUCT('Cohort engine'!$I$5:$I$28,(1-$A65)*(1-(1-$A65)^'Cohort engine'!$K$5:$K$28)/$A65)-SUMPRODUCT('Cohort engine'!$I$5:$I$28,'Cohort engine'!$M$5:$M$28))*$D$11*$D$12-$D$38)/$D$38)</f>
        <v>-0.934488144281876</v>
      </c>
      <c r="F65" s="16" t="n">
        <f aca="false">IF($D$38=0,0,((F$61-Assumptions!$D$15)*(SUMPRODUCT('Cohort engine'!$I$5:$I$28,(1-$A65)*(1-(1-$A65)^'Cohort engine'!$K$5:$K$28)/$A65)-SUMPRODUCT('Cohort engine'!$I$5:$I$28,'Cohort engine'!$M$5:$M$28))*$D$11*$D$12-$D$38)/$D$38)</f>
        <v>-0.978162714760625</v>
      </c>
      <c r="G65" s="16" t="n">
        <f aca="false">IF($D$38=0,0,((G$61-Assumptions!$D$15)*(SUMPRODUCT('Cohort engine'!$I$5:$I$28,(1-$A65)*(1-(1-$A65)^'Cohort engine'!$K$5:$K$28)/$A65)-SUMPRODUCT('Cohort engine'!$I$5:$I$28,'Cohort engine'!$M$5:$M$28))*$D$11*$D$12-$D$38)/$D$38)</f>
        <v>-1</v>
      </c>
    </row>
    <row r="66" customFormat="false" ht="15" hidden="false" customHeight="false" outlineLevel="0" collapsed="false">
      <c r="A66" s="39" t="n">
        <v>0.05</v>
      </c>
      <c r="B66" s="16" t="n">
        <f aca="false">IF($D$38=0,0,((B$61-Assumptions!$D$15)*(SUMPRODUCT('Cohort engine'!$I$5:$I$28,(1-$A66)*(1-(1-$A66)^'Cohort engine'!$K$5:$K$28)/$A66)-SUMPRODUCT('Cohort engine'!$I$5:$I$28,'Cohort engine'!$M$5:$M$28))*$D$11*$D$12-$D$38)/$D$38)</f>
        <v>-1</v>
      </c>
      <c r="C66" s="16" t="n">
        <f aca="false">IF($D$38=0,0,((C$61-Assumptions!$D$15)*(SUMPRODUCT('Cohort engine'!$I$5:$I$28,(1-$A66)*(1-(1-$A66)^'Cohort engine'!$K$5:$K$28)/$A66)-SUMPRODUCT('Cohort engine'!$I$5:$I$28,'Cohort engine'!$M$5:$M$28))*$D$11*$D$12-$D$38)/$D$38)</f>
        <v>-1</v>
      </c>
      <c r="D66" s="16" t="n">
        <f aca="false">IF($D$38=0,0,((D$61-Assumptions!$D$15)*(SUMPRODUCT('Cohort engine'!$I$5:$I$28,(1-$A66)*(1-(1-$A66)^'Cohort engine'!$K$5:$K$28)/$A66)-SUMPRODUCT('Cohort engine'!$I$5:$I$28,'Cohort engine'!$M$5:$M$28))*$D$11*$D$12-$D$38)/$D$38)</f>
        <v>-1</v>
      </c>
      <c r="E66" s="16" t="n">
        <f aca="false">IF($D$38=0,0,((E$61-Assumptions!$D$15)*(SUMPRODUCT('Cohort engine'!$I$5:$I$28,(1-$A66)*(1-(1-$A66)^'Cohort engine'!$K$5:$K$28)/$A66)-SUMPRODUCT('Cohort engine'!$I$5:$I$28,'Cohort engine'!$M$5:$M$28))*$D$11*$D$12-$D$38)/$D$38)</f>
        <v>-1</v>
      </c>
      <c r="F66" s="16" t="n">
        <f aca="false">IF($D$38=0,0,((F$61-Assumptions!$D$15)*(SUMPRODUCT('Cohort engine'!$I$5:$I$28,(1-$A66)*(1-(1-$A66)^'Cohort engine'!$K$5:$K$28)/$A66)-SUMPRODUCT('Cohort engine'!$I$5:$I$28,'Cohort engine'!$M$5:$M$28))*$D$11*$D$12-$D$38)/$D$38)</f>
        <v>-1</v>
      </c>
      <c r="G66" s="16" t="n">
        <f aca="false">IF($D$38=0,0,((G$61-Assumptions!$D$15)*(SUMPRODUCT('Cohort engine'!$I$5:$I$28,(1-$A66)*(1-(1-$A66)^'Cohort engine'!$K$5:$K$28)/$A66)-SUMPRODUCT('Cohort engine'!$I$5:$I$28,'Cohort engine'!$M$5:$M$28))*$D$11*$D$12-$D$38)/$D$38)</f>
        <v>-1</v>
      </c>
    </row>
    <row r="68" customFormat="false" ht="15" hidden="false" customHeight="false" outlineLevel="0" collapsed="false">
      <c r="A68" s="9" t="s">
        <v>264</v>
      </c>
      <c r="B68" s="25" t="str">
        <f aca="false">IF(ABS(C54-D25)&lt;0.000001,"OK","CHECK")</f>
        <v>OK</v>
      </c>
    </row>
    <row r="69" customFormat="false" ht="15" hidden="false" customHeight="false" outlineLevel="0" collapsed="false">
      <c r="A69" s="9" t="s">
        <v>265</v>
      </c>
      <c r="B69" s="25" t="str">
        <f aca="false">IF(ABS(C63-D41)&lt;0.000001,"OK","CHECK")</f>
        <v>OK</v>
      </c>
    </row>
    <row r="70" customFormat="false" ht="15" hidden="false" customHeight="false" outlineLevel="0" collapsed="false">
      <c r="A70" s="9" t="s">
        <v>266</v>
      </c>
    </row>
  </sheetData>
  <conditionalFormatting sqref="B53:G57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B62:G66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20"/>
    <col collapsed="false" customWidth="true" hidden="false" outlineLevel="0" max="6" min="6" style="0" width="16"/>
    <col collapsed="false" customWidth="true" hidden="false" outlineLevel="0" max="7" min="7" style="0" width="52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4" t="s">
        <v>267</v>
      </c>
    </row>
    <row r="4" customFormat="false" ht="15" hidden="false" customHeight="false" outlineLevel="0" collapsed="false">
      <c r="A4" s="7" t="s">
        <v>268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6" t="s">
        <v>145</v>
      </c>
      <c r="B5" s="6" t="s">
        <v>16</v>
      </c>
      <c r="C5" s="6" t="s">
        <v>269</v>
      </c>
      <c r="D5" s="6" t="s">
        <v>270</v>
      </c>
      <c r="E5" s="6" t="s">
        <v>271</v>
      </c>
      <c r="F5" s="6" t="s">
        <v>202</v>
      </c>
    </row>
    <row r="6" customFormat="false" ht="15" hidden="false" customHeight="false" outlineLevel="0" collapsed="false">
      <c r="A6" s="9" t="s">
        <v>272</v>
      </c>
      <c r="B6" s="9" t="s">
        <v>243</v>
      </c>
      <c r="C6" s="16" t="n">
        <f aca="false">1</f>
        <v>1</v>
      </c>
      <c r="D6" s="16" t="n">
        <f aca="false">Assumptions!$D$38</f>
        <v>0.2</v>
      </c>
      <c r="E6" s="16" t="n">
        <f aca="false">Assumptions!$D$43</f>
        <v>0.4</v>
      </c>
      <c r="F6" s="9" t="s">
        <v>273</v>
      </c>
    </row>
    <row r="7" customFormat="false" ht="15" hidden="false" customHeight="false" outlineLevel="0" collapsed="false">
      <c r="A7" s="9" t="s">
        <v>274</v>
      </c>
      <c r="B7" s="9" t="s">
        <v>194</v>
      </c>
      <c r="C7" s="23" t="n">
        <f aca="false">'Revenue and business case'!$D$19*C6</f>
        <v>93.7993660497295</v>
      </c>
      <c r="D7" s="23" t="n">
        <f aca="false">'Revenue and business case'!$D$19*D6</f>
        <v>18.7598732099459</v>
      </c>
      <c r="E7" s="23" t="n">
        <f aca="false">'Revenue and business case'!$D$19*E6</f>
        <v>37.5197464198918</v>
      </c>
      <c r="F7" s="9" t="s">
        <v>275</v>
      </c>
    </row>
    <row r="8" customFormat="false" ht="15" hidden="false" customHeight="false" outlineLevel="0" collapsed="false">
      <c r="A8" s="9" t="s">
        <v>276</v>
      </c>
      <c r="B8" s="9" t="s">
        <v>116</v>
      </c>
      <c r="C8" s="19" t="n">
        <f aca="false">C7*Assumptions!$D$22</f>
        <v>234498.415124324</v>
      </c>
      <c r="D8" s="19" t="n">
        <f aca="false">D7*Assumptions!$D$22</f>
        <v>46899.6830248648</v>
      </c>
      <c r="E8" s="19" t="n">
        <f aca="false">E7*Assumptions!$D$22</f>
        <v>93799.3660497295</v>
      </c>
      <c r="F8" s="9" t="s">
        <v>229</v>
      </c>
    </row>
    <row r="9" customFormat="false" ht="15" hidden="false" customHeight="false" outlineLevel="0" collapsed="false">
      <c r="A9" s="9" t="s">
        <v>277</v>
      </c>
      <c r="B9" s="9" t="s">
        <v>194</v>
      </c>
      <c r="C9" s="14" t="n">
        <f aca="false">0</f>
        <v>0</v>
      </c>
      <c r="D9" s="14" t="n">
        <f aca="false">(1-Assumptions!$D$38)*Assumptions!$D$39/Assumptions!$D$8*'Cohort engine'!$D$32</f>
        <v>209.595800025838</v>
      </c>
      <c r="E9" s="14" t="n">
        <f aca="false">Assumptions!$D$42*'Cohort engine'!$D$32</f>
        <v>419.191600051675</v>
      </c>
      <c r="F9" s="9" t="s">
        <v>278</v>
      </c>
    </row>
    <row r="10" customFormat="false" ht="15" hidden="false" customHeight="false" outlineLevel="0" collapsed="false">
      <c r="A10" s="9" t="s">
        <v>279</v>
      </c>
      <c r="B10" s="9" t="s">
        <v>116</v>
      </c>
      <c r="C10" s="19" t="n">
        <f aca="false">0</f>
        <v>0</v>
      </c>
      <c r="D10" s="19" t="n">
        <f aca="false">D9*Assumptions!$D$40</f>
        <v>209595.800025838</v>
      </c>
      <c r="E10" s="19" t="n">
        <f aca="false">E9*Assumptions!$D$41</f>
        <v>209176.608425786</v>
      </c>
      <c r="F10" s="9" t="s">
        <v>280</v>
      </c>
    </row>
    <row r="11" customFormat="false" ht="15" hidden="false" customHeight="false" outlineLevel="0" collapsed="false">
      <c r="A11" s="25" t="s">
        <v>281</v>
      </c>
      <c r="B11" s="9" t="s">
        <v>116</v>
      </c>
      <c r="C11" s="26" t="n">
        <f aca="false">C8+C10</f>
        <v>234498.415124324</v>
      </c>
      <c r="D11" s="26" t="n">
        <f aca="false">D8+D10</f>
        <v>256495.483050702</v>
      </c>
      <c r="E11" s="26" t="n">
        <f aca="false">E8+E10</f>
        <v>302975.974475515</v>
      </c>
      <c r="F11" s="9" t="s">
        <v>282</v>
      </c>
    </row>
    <row r="12" customFormat="false" ht="15" hidden="false" customHeight="false" outlineLevel="0" collapsed="false">
      <c r="A12" s="9" t="s">
        <v>283</v>
      </c>
      <c r="B12" s="9" t="s">
        <v>116</v>
      </c>
      <c r="C12" s="19" t="n">
        <f aca="false">C10*Assumptions!$D$44</f>
        <v>0</v>
      </c>
      <c r="D12" s="19" t="n">
        <f aca="false">D10*Assumptions!$D$44</f>
        <v>4191.91600051675</v>
      </c>
      <c r="E12" s="19" t="n">
        <f aca="false">E10*Assumptions!$D$44</f>
        <v>4183.53216851572</v>
      </c>
      <c r="F12" s="9" t="s">
        <v>284</v>
      </c>
    </row>
    <row r="13" customFormat="false" ht="15" hidden="false" customHeight="false" outlineLevel="0" collapsed="false">
      <c r="A13" s="9" t="s">
        <v>285</v>
      </c>
      <c r="B13" s="9" t="s">
        <v>116</v>
      </c>
      <c r="C13" s="19" t="n">
        <f aca="false">C11*(1-Assumptions!$D$23)</f>
        <v>35174.7622686486</v>
      </c>
      <c r="D13" s="19" t="n">
        <f aca="false">D11*(1-Assumptions!$D$23)</f>
        <v>38474.3224576054</v>
      </c>
      <c r="E13" s="19" t="n">
        <f aca="false">E11*(1-Assumptions!$D$23)</f>
        <v>45446.3961713273</v>
      </c>
      <c r="F13" s="9" t="s">
        <v>286</v>
      </c>
    </row>
    <row r="14" customFormat="false" ht="15" hidden="false" customHeight="false" outlineLevel="0" collapsed="false">
      <c r="A14" s="9" t="s">
        <v>287</v>
      </c>
      <c r="B14" s="9" t="s">
        <v>116</v>
      </c>
      <c r="C14" s="24" t="n">
        <f aca="false">'Cohort engine'!$D$31*Assumptions!$D$10*Assumptions!$D$31*Assumptions!$D$30*'Cost model'!$D$11</f>
        <v>0</v>
      </c>
      <c r="D14" s="24" t="n">
        <f aca="false">'Cohort engine'!$D$31*Assumptions!$D$10*Assumptions!$D$31*Assumptions!$D$30*'Cost model'!$D$11</f>
        <v>0</v>
      </c>
      <c r="E14" s="24" t="n">
        <f aca="false">'Cohort engine'!$D$31*Assumptions!$D$10*Assumptions!$D$31*Assumptions!$D$30*'Cost model'!$D$11</f>
        <v>0</v>
      </c>
      <c r="F14" s="9" t="s">
        <v>288</v>
      </c>
    </row>
    <row r="15" customFormat="false" ht="15" hidden="false" customHeight="false" outlineLevel="0" collapsed="false">
      <c r="A15" s="25" t="s">
        <v>289</v>
      </c>
      <c r="B15" s="9" t="s">
        <v>116</v>
      </c>
      <c r="C15" s="26" t="n">
        <f aca="false">C11-C12-C13-C14</f>
        <v>199323.652855675</v>
      </c>
      <c r="D15" s="26" t="n">
        <f aca="false">D11-D12-D13-D14</f>
        <v>213829.24459258</v>
      </c>
      <c r="E15" s="26" t="n">
        <f aca="false">E11-E12-E13-E14</f>
        <v>253346.046135672</v>
      </c>
      <c r="F15" s="9" t="s">
        <v>290</v>
      </c>
    </row>
    <row r="16" customFormat="false" ht="15" hidden="false" customHeight="false" outlineLevel="0" collapsed="false">
      <c r="A16" s="9" t="s">
        <v>291</v>
      </c>
      <c r="B16" s="9" t="s">
        <v>292</v>
      </c>
      <c r="C16" s="16" t="n">
        <f aca="false">IF(C11=0,0,C15/C11)</f>
        <v>0.85</v>
      </c>
      <c r="D16" s="16" t="n">
        <f aca="false">IF(D11=0,0,D15/D11)</f>
        <v>0.8336569597614</v>
      </c>
      <c r="E16" s="16" t="n">
        <f aca="false">IF(E11=0,0,E15/E11)</f>
        <v>0.836191868263621</v>
      </c>
      <c r="F16" s="9" t="s">
        <v>293</v>
      </c>
    </row>
    <row r="17" customFormat="false" ht="15" hidden="false" customHeight="false" outlineLevel="0" collapsed="false">
      <c r="A17" s="9" t="s">
        <v>294</v>
      </c>
      <c r="B17" s="9" t="s">
        <v>116</v>
      </c>
      <c r="C17" s="24" t="n">
        <f aca="false">'Cost model'!$D$9*Assumptions!$D$20</f>
        <v>444000</v>
      </c>
      <c r="D17" s="24" t="n">
        <f aca="false">'Cost model'!$D$9*Assumptions!$D$20</f>
        <v>444000</v>
      </c>
      <c r="E17" s="24" t="n">
        <f aca="false">'Cost model'!$D$9*Assumptions!$D$20</f>
        <v>444000</v>
      </c>
      <c r="F17" s="9" t="s">
        <v>295</v>
      </c>
    </row>
    <row r="18" customFormat="false" ht="15" hidden="false" customHeight="false" outlineLevel="0" collapsed="false">
      <c r="A18" s="9" t="s">
        <v>296</v>
      </c>
      <c r="B18" s="9" t="s">
        <v>116</v>
      </c>
      <c r="C18" s="19" t="n">
        <f aca="false">0</f>
        <v>0</v>
      </c>
      <c r="D18" s="19" t="n">
        <f aca="false">Assumptions!$D$46</f>
        <v>0</v>
      </c>
      <c r="E18" s="19" t="n">
        <f aca="false">Assumptions!$D$46</f>
        <v>0</v>
      </c>
      <c r="F18" s="9" t="s">
        <v>297</v>
      </c>
    </row>
    <row r="19" customFormat="false" ht="15" hidden="false" customHeight="false" outlineLevel="0" collapsed="false">
      <c r="A19" s="25" t="s">
        <v>298</v>
      </c>
      <c r="B19" s="9" t="s">
        <v>116</v>
      </c>
      <c r="C19" s="26" t="n">
        <f aca="false">C15-C17-C18</f>
        <v>-244676.347144325</v>
      </c>
      <c r="D19" s="26" t="n">
        <f aca="false">D15-D17-D18</f>
        <v>-230170.75540742</v>
      </c>
      <c r="E19" s="26" t="n">
        <f aca="false">E15-E17-E18</f>
        <v>-190653.953864328</v>
      </c>
      <c r="F19" s="9" t="s">
        <v>299</v>
      </c>
    </row>
    <row r="20" customFormat="false" ht="15" hidden="false" customHeight="false" outlineLevel="0" collapsed="false">
      <c r="A20" s="9" t="s">
        <v>300</v>
      </c>
      <c r="B20" s="9" t="s">
        <v>113</v>
      </c>
      <c r="C20" s="16" t="n">
        <f aca="false">IF(C17+C18+C14=0,0,C19/(C17+C18+C14))</f>
        <v>-0.55107285392866</v>
      </c>
      <c r="D20" s="16" t="n">
        <f aca="false">IF(D17+D18+D14=0,0,D19/(D17+D18+D14))</f>
        <v>-0.518402602268964</v>
      </c>
      <c r="E20" s="16" t="n">
        <f aca="false">IF(E17+E18+E14=0,0,E19/(E17+E18+E14))</f>
        <v>-0.429400796991729</v>
      </c>
      <c r="F20" s="9" t="s">
        <v>301</v>
      </c>
    </row>
    <row r="21" customFormat="false" ht="15" hidden="false" customHeight="false" outlineLevel="0" collapsed="false">
      <c r="A21" s="25" t="s">
        <v>302</v>
      </c>
      <c r="C21" s="25" t="str">
        <f aca="false">INDEX(C5:E5,MATCH(MAX(C19:E19),C19:E19,0))</f>
        <v>C: Paid add-on</v>
      </c>
      <c r="D21" s="25"/>
      <c r="E21" s="25"/>
    </row>
    <row r="22" customFormat="false" ht="15" hidden="false" customHeight="false" outlineLevel="0" collapsed="false">
      <c r="A22" s="9" t="s">
        <v>303</v>
      </c>
      <c r="C22" s="19" t="n">
        <f aca="false">MAX(C19:E19)-C19</f>
        <v>54022.3932799971</v>
      </c>
    </row>
    <row r="23" customFormat="false" ht="15" hidden="false" customHeight="false" outlineLevel="0" collapsed="false">
      <c r="A23" s="9" t="s">
        <v>304</v>
      </c>
      <c r="E23" s="16" t="n">
        <f aca="false">IF('Adoption funnel'!$D$10*E6=0,0,Assumptions!$D$42/('Adoption funnel'!$D$10*E6))</f>
        <v>0.583566760037348</v>
      </c>
    </row>
    <row r="24" customFormat="false" ht="15" hidden="false" customHeight="false" outlineLevel="0" collapsed="false">
      <c r="A24" s="9" t="s">
        <v>305</v>
      </c>
      <c r="E24" s="33" t="n">
        <f aca="false">IF(E10=0,0,Assumptions!$D$42*((C8*Assumptions!$D$23*(1-E6)+E18)/(Assumptions!$D$23-Assumptions!$D$44))/E10)</f>
        <v>0.0206652247625911</v>
      </c>
    </row>
    <row r="26" customFormat="false" ht="15" hidden="false" customHeight="false" outlineLevel="0" collapsed="false">
      <c r="A26" s="7" t="s">
        <v>306</v>
      </c>
      <c r="B26" s="8"/>
      <c r="C26" s="8"/>
      <c r="D26" s="8"/>
      <c r="E26" s="8"/>
      <c r="F26" s="8"/>
    </row>
    <row r="27" customFormat="false" ht="15" hidden="false" customHeight="false" outlineLevel="0" collapsed="false">
      <c r="A27" s="6" t="s">
        <v>145</v>
      </c>
      <c r="B27" s="6" t="s">
        <v>16</v>
      </c>
      <c r="C27" s="6" t="s">
        <v>269</v>
      </c>
      <c r="D27" s="6" t="s">
        <v>270</v>
      </c>
      <c r="E27" s="6" t="s">
        <v>271</v>
      </c>
      <c r="F27" s="6" t="s">
        <v>202</v>
      </c>
    </row>
    <row r="28" customFormat="false" ht="15" hidden="false" customHeight="false" outlineLevel="0" collapsed="false">
      <c r="A28" s="9" t="s">
        <v>272</v>
      </c>
      <c r="B28" s="9" t="s">
        <v>243</v>
      </c>
      <c r="C28" s="16" t="n">
        <f aca="false">1</f>
        <v>1</v>
      </c>
      <c r="D28" s="16" t="n">
        <f aca="false">Assumptions!$D$38</f>
        <v>0.2</v>
      </c>
      <c r="E28" s="16" t="n">
        <f aca="false">Assumptions!$D$43</f>
        <v>0.4</v>
      </c>
      <c r="F28" s="9" t="s">
        <v>273</v>
      </c>
    </row>
    <row r="29" customFormat="false" ht="15" hidden="false" customHeight="false" outlineLevel="0" collapsed="false">
      <c r="A29" s="9" t="s">
        <v>274</v>
      </c>
      <c r="B29" s="9" t="s">
        <v>194</v>
      </c>
      <c r="C29" s="23" t="n">
        <f aca="false">'Revenue and business case'!$D$35*C28</f>
        <v>110.946430549251</v>
      </c>
      <c r="D29" s="23" t="n">
        <f aca="false">'Revenue and business case'!$D$35*D28</f>
        <v>22.1892861098502</v>
      </c>
      <c r="E29" s="23" t="n">
        <f aca="false">'Revenue and business case'!$D$35*E28</f>
        <v>44.3785722197003</v>
      </c>
      <c r="F29" s="9" t="s">
        <v>275</v>
      </c>
    </row>
    <row r="30" customFormat="false" ht="15" hidden="false" customHeight="false" outlineLevel="0" collapsed="false">
      <c r="A30" s="9" t="s">
        <v>276</v>
      </c>
      <c r="B30" s="9" t="s">
        <v>116</v>
      </c>
      <c r="C30" s="19" t="n">
        <f aca="false">C29*Assumptions!$D$22</f>
        <v>277366.076373127</v>
      </c>
      <c r="D30" s="19" t="n">
        <f aca="false">D29*Assumptions!$D$22</f>
        <v>55473.2152746254</v>
      </c>
      <c r="E30" s="19" t="n">
        <f aca="false">E29*Assumptions!$D$22</f>
        <v>110946.430549251</v>
      </c>
      <c r="F30" s="9" t="s">
        <v>229</v>
      </c>
    </row>
    <row r="31" customFormat="false" ht="15" hidden="false" customHeight="false" outlineLevel="0" collapsed="false">
      <c r="A31" s="9" t="s">
        <v>277</v>
      </c>
      <c r="B31" s="9" t="s">
        <v>194</v>
      </c>
      <c r="C31" s="14" t="n">
        <f aca="false">0</f>
        <v>0</v>
      </c>
      <c r="D31" s="14" t="n">
        <f aca="false">(1-Assumptions!$D$38)*Assumptions!$D$39/Assumptions!$D$8*'Cohort engine'!$D$35</f>
        <v>273.6</v>
      </c>
      <c r="E31" s="14" t="n">
        <f aca="false">Assumptions!$D$42*'Cohort engine'!$D$35</f>
        <v>547.2</v>
      </c>
      <c r="F31" s="9" t="s">
        <v>278</v>
      </c>
    </row>
    <row r="32" customFormat="false" ht="15" hidden="false" customHeight="false" outlineLevel="0" collapsed="false">
      <c r="A32" s="9" t="s">
        <v>279</v>
      </c>
      <c r="B32" s="9" t="s">
        <v>116</v>
      </c>
      <c r="C32" s="19" t="n">
        <f aca="false">0</f>
        <v>0</v>
      </c>
      <c r="D32" s="19" t="n">
        <f aca="false">D31*Assumptions!$D$40</f>
        <v>273600</v>
      </c>
      <c r="E32" s="19" t="n">
        <f aca="false">E31*Assumptions!$D$41</f>
        <v>273052.8</v>
      </c>
      <c r="F32" s="9" t="s">
        <v>280</v>
      </c>
    </row>
    <row r="33" customFormat="false" ht="15" hidden="false" customHeight="false" outlineLevel="0" collapsed="false">
      <c r="A33" s="25" t="s">
        <v>281</v>
      </c>
      <c r="B33" s="9" t="s">
        <v>116</v>
      </c>
      <c r="C33" s="26" t="n">
        <f aca="false">C30+C32</f>
        <v>277366.076373127</v>
      </c>
      <c r="D33" s="26" t="n">
        <f aca="false">D30+D32</f>
        <v>329073.215274625</v>
      </c>
      <c r="E33" s="26" t="n">
        <f aca="false">E30+E32</f>
        <v>383999.230549251</v>
      </c>
      <c r="F33" s="9" t="s">
        <v>282</v>
      </c>
    </row>
    <row r="34" customFormat="false" ht="15" hidden="false" customHeight="false" outlineLevel="0" collapsed="false">
      <c r="A34" s="9" t="s">
        <v>283</v>
      </c>
      <c r="B34" s="9" t="s">
        <v>116</v>
      </c>
      <c r="C34" s="19" t="n">
        <f aca="false">C32*Assumptions!$D$44</f>
        <v>0</v>
      </c>
      <c r="D34" s="19" t="n">
        <f aca="false">D32*Assumptions!$D$44</f>
        <v>5472</v>
      </c>
      <c r="E34" s="19" t="n">
        <f aca="false">E32*Assumptions!$D$44</f>
        <v>5461.056</v>
      </c>
      <c r="F34" s="9" t="s">
        <v>284</v>
      </c>
    </row>
    <row r="35" customFormat="false" ht="15" hidden="false" customHeight="false" outlineLevel="0" collapsed="false">
      <c r="A35" s="9" t="s">
        <v>285</v>
      </c>
      <c r="B35" s="9" t="s">
        <v>116</v>
      </c>
      <c r="C35" s="19" t="n">
        <f aca="false">C33*(1-Assumptions!$D$23)</f>
        <v>41604.9114559691</v>
      </c>
      <c r="D35" s="19" t="n">
        <f aca="false">D33*(1-Assumptions!$D$23)</f>
        <v>49360.9822911938</v>
      </c>
      <c r="E35" s="19" t="n">
        <f aca="false">E33*(1-Assumptions!$D$23)</f>
        <v>57599.8845823876</v>
      </c>
      <c r="F35" s="9" t="s">
        <v>286</v>
      </c>
    </row>
    <row r="36" customFormat="false" ht="15" hidden="false" customHeight="false" outlineLevel="0" collapsed="false">
      <c r="A36" s="9" t="s">
        <v>287</v>
      </c>
      <c r="B36" s="9" t="s">
        <v>116</v>
      </c>
      <c r="C36" s="24" t="n">
        <f aca="false">'Cohort engine'!$D$34*Assumptions!$D$10*Assumptions!$D$31*Assumptions!$D$30*'Cost model'!$D$11</f>
        <v>0</v>
      </c>
      <c r="D36" s="24" t="n">
        <f aca="false">'Cohort engine'!$D$34*Assumptions!$D$10*Assumptions!$D$31*Assumptions!$D$30*'Cost model'!$D$11</f>
        <v>0</v>
      </c>
      <c r="E36" s="24" t="n">
        <f aca="false">'Cohort engine'!$D$34*Assumptions!$D$10*Assumptions!$D$31*Assumptions!$D$30*'Cost model'!$D$11</f>
        <v>0</v>
      </c>
      <c r="F36" s="9" t="s">
        <v>288</v>
      </c>
    </row>
    <row r="37" customFormat="false" ht="15" hidden="false" customHeight="false" outlineLevel="0" collapsed="false">
      <c r="A37" s="25" t="s">
        <v>289</v>
      </c>
      <c r="B37" s="9" t="s">
        <v>116</v>
      </c>
      <c r="C37" s="26" t="n">
        <f aca="false">C33-C34-C35-C36</f>
        <v>235761.164917158</v>
      </c>
      <c r="D37" s="26" t="n">
        <f aca="false">D33-D34-D35-D36</f>
        <v>274240.232983432</v>
      </c>
      <c r="E37" s="26" t="n">
        <f aca="false">E33-E34-E35-E36</f>
        <v>320938.289966863</v>
      </c>
      <c r="F37" s="9" t="s">
        <v>290</v>
      </c>
    </row>
    <row r="38" customFormat="false" ht="15" hidden="false" customHeight="false" outlineLevel="0" collapsed="false">
      <c r="A38" s="9" t="s">
        <v>291</v>
      </c>
      <c r="B38" s="9" t="s">
        <v>292</v>
      </c>
      <c r="C38" s="16" t="n">
        <f aca="false">IF(C33=0,0,C37/C33)</f>
        <v>0.85</v>
      </c>
      <c r="D38" s="16" t="n">
        <f aca="false">IF(D33=0,0,D37/D33)</f>
        <v>0.833371481646012</v>
      </c>
      <c r="E38" s="16" t="n">
        <f aca="false">IF(E33=0,0,E37/E33)</f>
        <v>0.835778471503214</v>
      </c>
      <c r="F38" s="9" t="s">
        <v>293</v>
      </c>
    </row>
    <row r="39" customFormat="false" ht="15" hidden="false" customHeight="false" outlineLevel="0" collapsed="false">
      <c r="A39" s="9" t="s">
        <v>294</v>
      </c>
      <c r="B39" s="9" t="s">
        <v>116</v>
      </c>
      <c r="C39" s="24" t="n">
        <f aca="false">'Cost model'!$D$9*Assumptions!$D$20</f>
        <v>444000</v>
      </c>
      <c r="D39" s="24" t="n">
        <f aca="false">'Cost model'!$D$9*Assumptions!$D$20</f>
        <v>444000</v>
      </c>
      <c r="E39" s="24" t="n">
        <f aca="false">'Cost model'!$D$9*Assumptions!$D$20</f>
        <v>444000</v>
      </c>
      <c r="F39" s="9" t="s">
        <v>295</v>
      </c>
    </row>
    <row r="40" customFormat="false" ht="15" hidden="false" customHeight="false" outlineLevel="0" collapsed="false">
      <c r="A40" s="9" t="s">
        <v>296</v>
      </c>
      <c r="B40" s="9" t="s">
        <v>116</v>
      </c>
      <c r="C40" s="19" t="n">
        <f aca="false">0</f>
        <v>0</v>
      </c>
      <c r="D40" s="19" t="n">
        <f aca="false">Assumptions!$D$46</f>
        <v>0</v>
      </c>
      <c r="E40" s="19" t="n">
        <f aca="false">Assumptions!$D$46</f>
        <v>0</v>
      </c>
      <c r="F40" s="9" t="s">
        <v>297</v>
      </c>
    </row>
    <row r="41" customFormat="false" ht="15" hidden="false" customHeight="false" outlineLevel="0" collapsed="false">
      <c r="A41" s="25" t="s">
        <v>298</v>
      </c>
      <c r="B41" s="9" t="s">
        <v>116</v>
      </c>
      <c r="C41" s="26" t="n">
        <f aca="false">C37-C39-C40</f>
        <v>-208238.835082842</v>
      </c>
      <c r="D41" s="26" t="n">
        <f aca="false">D37-D39-D40</f>
        <v>-169759.767016569</v>
      </c>
      <c r="E41" s="26" t="n">
        <f aca="false">E37-E39-E40</f>
        <v>-123061.710033137</v>
      </c>
      <c r="F41" s="9" t="s">
        <v>299</v>
      </c>
    </row>
    <row r="42" customFormat="false" ht="15" hidden="false" customHeight="false" outlineLevel="0" collapsed="false">
      <c r="A42" s="9" t="s">
        <v>300</v>
      </c>
      <c r="B42" s="9" t="s">
        <v>113</v>
      </c>
      <c r="C42" s="16" t="n">
        <f aca="false">IF(C39+C40+C36=0,0,C41/(C39+C40+C36))</f>
        <v>-0.469006385321716</v>
      </c>
      <c r="D42" s="16" t="n">
        <f aca="false">IF(D39+D40+D36=0,0,D41/(D39+D40+D36))</f>
        <v>-0.382341817604884</v>
      </c>
      <c r="E42" s="16" t="n">
        <f aca="false">IF(E39+E40+E36=0,0,E41/(E39+E40+E36))</f>
        <v>-0.277166013588146</v>
      </c>
      <c r="F42" s="9" t="s">
        <v>301</v>
      </c>
    </row>
    <row r="43" customFormat="false" ht="15" hidden="false" customHeight="false" outlineLevel="0" collapsed="false">
      <c r="A43" s="25" t="s">
        <v>302</v>
      </c>
      <c r="C43" s="25" t="str">
        <f aca="false">INDEX(C27:E27,MATCH(MAX(C41:E41),C41:E41,0))</f>
        <v>C: Paid add-on</v>
      </c>
      <c r="D43" s="25"/>
      <c r="E43" s="25"/>
    </row>
    <row r="44" customFormat="false" ht="15" hidden="false" customHeight="false" outlineLevel="0" collapsed="false">
      <c r="A44" s="9" t="s">
        <v>303</v>
      </c>
      <c r="C44" s="19" t="n">
        <f aca="false">MAX(C41:E41)-C41</f>
        <v>85177.1250497051</v>
      </c>
    </row>
    <row r="45" customFormat="false" ht="15" hidden="false" customHeight="false" outlineLevel="0" collapsed="false">
      <c r="A45" s="9" t="s">
        <v>304</v>
      </c>
      <c r="E45" s="16" t="n">
        <f aca="false">IF('Adoption funnel'!$D$10*E28=0,0,Assumptions!$D$42/('Adoption funnel'!$D$10*E28))</f>
        <v>0.583566760037348</v>
      </c>
    </row>
    <row r="46" customFormat="false" ht="15" hidden="false" customHeight="false" outlineLevel="0" collapsed="false">
      <c r="A46" s="9" t="s">
        <v>305</v>
      </c>
      <c r="E46" s="33" t="n">
        <f aca="false">IF(E32=0,0,Assumptions!$D$42*((C30*Assumptions!$D$23*(1-E28)+E40)/(Assumptions!$D$23-Assumptions!$D$44))/E32)</f>
        <v>0.0187249232864237</v>
      </c>
    </row>
    <row r="48" customFormat="false" ht="15" hidden="false" customHeight="false" outlineLevel="0" collapsed="false">
      <c r="A48" s="25" t="s">
        <v>307</v>
      </c>
    </row>
    <row r="49" customFormat="false" ht="15" hidden="false" customHeight="false" outlineLevel="0" collapsed="false">
      <c r="A49" s="9" t="s">
        <v>308</v>
      </c>
    </row>
    <row r="50" customFormat="false" ht="15" hidden="false" customHeight="false" outlineLevel="0" collapsed="false">
      <c r="A50" s="9" t="s">
        <v>309</v>
      </c>
    </row>
    <row r="51" customFormat="false" ht="15" hidden="false" customHeight="false" outlineLevel="0" collapsed="false">
      <c r="A51" s="9" t="s">
        <v>310</v>
      </c>
    </row>
    <row r="52" customFormat="false" ht="15" hidden="false" customHeight="false" outlineLevel="0" collapsed="false">
      <c r="A52" s="9" t="s">
        <v>311</v>
      </c>
    </row>
    <row r="55" customFormat="false" ht="15" hidden="false" customHeight="false" outlineLevel="0" collapsed="false">
      <c r="A55" s="7" t="s">
        <v>312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6" t="s">
        <v>313</v>
      </c>
      <c r="B56" s="6" t="s">
        <v>314</v>
      </c>
      <c r="C56" s="6" t="s">
        <v>315</v>
      </c>
      <c r="D56" s="6" t="s">
        <v>119</v>
      </c>
      <c r="E56" s="6" t="s">
        <v>316</v>
      </c>
      <c r="F56" s="6" t="s">
        <v>317</v>
      </c>
      <c r="G56" s="6" t="s">
        <v>318</v>
      </c>
      <c r="H56" s="6" t="s">
        <v>319</v>
      </c>
    </row>
    <row r="57" customFormat="false" ht="23.85" hidden="false" customHeight="false" outlineLevel="0" collapsed="false">
      <c r="A57" s="12" t="s">
        <v>320</v>
      </c>
      <c r="B57" s="40" t="n">
        <v>1240</v>
      </c>
      <c r="C57" s="40" t="n">
        <v>1236</v>
      </c>
      <c r="D57" s="33" t="n">
        <f aca="false">IF(C57=0,0,ABS(B57-C57)/C57)</f>
        <v>0.00323624595469256</v>
      </c>
      <c r="E57" s="39" t="n">
        <v>0.01</v>
      </c>
      <c r="F57" s="25" t="str">
        <f aca="false">IF(D57&lt;=E57,"OK","ALERT")</f>
        <v>OK</v>
      </c>
      <c r="G57" s="12" t="s">
        <v>321</v>
      </c>
      <c r="H57" s="12" t="s">
        <v>322</v>
      </c>
    </row>
    <row r="58" customFormat="false" ht="23.85" hidden="false" customHeight="false" outlineLevel="0" collapsed="false">
      <c r="A58" s="12" t="s">
        <v>323</v>
      </c>
      <c r="B58" s="40" t="n">
        <v>1</v>
      </c>
      <c r="C58" s="40" t="n">
        <v>190</v>
      </c>
      <c r="D58" s="33" t="n">
        <f aca="false">IF(C58=0,0,B58/C58)</f>
        <v>0.00526315789473684</v>
      </c>
      <c r="E58" s="39" t="n">
        <v>0.005</v>
      </c>
      <c r="F58" s="25" t="str">
        <f aca="false">IF(D58&lt;=E58,"OK","ALERT")</f>
        <v>ALERT</v>
      </c>
      <c r="G58" s="12" t="s">
        <v>324</v>
      </c>
      <c r="H58" s="12" t="s">
        <v>325</v>
      </c>
    </row>
    <row r="59" customFormat="false" ht="15" hidden="false" customHeight="false" outlineLevel="0" collapsed="false">
      <c r="A59" s="12" t="s">
        <v>326</v>
      </c>
      <c r="B59" s="40" t="n">
        <v>0</v>
      </c>
      <c r="C59" s="40" t="n">
        <v>1240</v>
      </c>
      <c r="D59" s="33" t="n">
        <f aca="false">IF(C59=0,0,B59/C59)</f>
        <v>0</v>
      </c>
      <c r="E59" s="39" t="n">
        <v>0.001</v>
      </c>
      <c r="F59" s="25" t="str">
        <f aca="false">IF(D59&lt;=E59,"OK","ALERT")</f>
        <v>OK</v>
      </c>
      <c r="G59" s="12" t="s">
        <v>327</v>
      </c>
      <c r="H59" s="12" t="s">
        <v>328</v>
      </c>
    </row>
    <row r="60" customFormat="false" ht="15" hidden="false" customHeight="false" outlineLevel="0" collapsed="false">
      <c r="A60" s="12" t="s">
        <v>329</v>
      </c>
      <c r="B60" s="40" t="n">
        <v>0</v>
      </c>
      <c r="C60" s="40" t="n">
        <v>190</v>
      </c>
      <c r="D60" s="33" t="n">
        <f aca="false">IF(C60=0,0,B60/C60)</f>
        <v>0</v>
      </c>
      <c r="E60" s="39" t="n">
        <v>0</v>
      </c>
      <c r="F60" s="25" t="str">
        <f aca="false">IF(D60&lt;=E60,"OK","ALERT")</f>
        <v>OK</v>
      </c>
      <c r="G60" s="12" t="s">
        <v>330</v>
      </c>
      <c r="H60" s="12" t="s">
        <v>331</v>
      </c>
    </row>
    <row r="61" customFormat="false" ht="15" hidden="false" customHeight="false" outlineLevel="0" collapsed="false">
      <c r="A61" s="12" t="s">
        <v>332</v>
      </c>
      <c r="B61" s="40" t="n">
        <v>0</v>
      </c>
      <c r="C61" s="40" t="n">
        <v>0</v>
      </c>
      <c r="D61" s="33" t="n">
        <f aca="false">IF(C61=0,0,ABS(B61-C61)/C61)</f>
        <v>0</v>
      </c>
      <c r="E61" s="39" t="n">
        <v>0.02</v>
      </c>
      <c r="F61" s="25" t="str">
        <f aca="false">IF(Assumptions!$D$30=0,"N/A (AI off)",IF(D61&lt;=E61,"OK","ALERT"))</f>
        <v>N/A (AI off)</v>
      </c>
      <c r="G61" s="12" t="s">
        <v>333</v>
      </c>
      <c r="H61" s="12" t="s">
        <v>334</v>
      </c>
    </row>
    <row r="62" customFormat="false" ht="15" hidden="false" customHeight="false" outlineLevel="0" collapsed="false">
      <c r="A62" s="12" t="s">
        <v>335</v>
      </c>
      <c r="B62" s="40" t="n">
        <v>1250000</v>
      </c>
      <c r="C62" s="40" t="n">
        <v>1249000</v>
      </c>
      <c r="D62" s="33" t="n">
        <f aca="false">IF(C62=0,0,ABS(B62-C62)/C62)</f>
        <v>0.000800640512409928</v>
      </c>
      <c r="E62" s="39" t="n">
        <v>0.005</v>
      </c>
      <c r="F62" s="25" t="str">
        <f aca="false">IF(D62&lt;=E62,"OK","ALERT")</f>
        <v>OK</v>
      </c>
      <c r="G62" s="12" t="s">
        <v>336</v>
      </c>
      <c r="H62" s="12" t="s">
        <v>337</v>
      </c>
    </row>
    <row r="63" customFormat="false" ht="23.85" hidden="false" customHeight="false" outlineLevel="0" collapsed="false">
      <c r="A63" s="12" t="s">
        <v>338</v>
      </c>
      <c r="B63" s="40" t="n">
        <v>200</v>
      </c>
      <c r="C63" s="41" t="n">
        <f aca="false">'Cost model'!D18</f>
        <v>179.933084344849</v>
      </c>
      <c r="D63" s="16" t="n">
        <f aca="false">IF(C63=0,0,B63/C63-1)</f>
        <v>0.111524324324324</v>
      </c>
      <c r="E63" s="38" t="n">
        <v>0.25</v>
      </c>
      <c r="F63" s="25" t="str">
        <f aca="false">IF(D63&lt;=E63,"OK","ALERT")</f>
        <v>OK</v>
      </c>
      <c r="G63" s="12" t="s">
        <v>339</v>
      </c>
      <c r="H63" s="12" t="s">
        <v>340</v>
      </c>
    </row>
    <row r="64" customFormat="false" ht="15" hidden="false" customHeight="false" outlineLevel="0" collapsed="false">
      <c r="A64" s="12" t="s">
        <v>341</v>
      </c>
      <c r="B64" s="40" t="n">
        <v>790</v>
      </c>
      <c r="C64" s="40" t="n">
        <v>320</v>
      </c>
      <c r="D64" s="21" t="n">
        <f aca="false">IF(C64=0,0,B64/C64)</f>
        <v>2.46875</v>
      </c>
      <c r="E64" s="42" t="n">
        <v>4</v>
      </c>
      <c r="F64" s="25" t="str">
        <f aca="false">IF(D64&lt;=E64,"OK","ALERT")</f>
        <v>OK</v>
      </c>
      <c r="G64" s="12" t="s">
        <v>342</v>
      </c>
      <c r="H64" s="12" t="s">
        <v>343</v>
      </c>
    </row>
    <row r="65" customFormat="false" ht="15" hidden="false" customHeight="false" outlineLevel="0" collapsed="false">
      <c r="A65" s="12" t="s">
        <v>344</v>
      </c>
      <c r="B65" s="40" t="n">
        <v>140</v>
      </c>
      <c r="C65" s="40" t="n">
        <v>790</v>
      </c>
      <c r="D65" s="16" t="n">
        <f aca="false">IF(C65=0,0,B65/C65)</f>
        <v>0.177215189873418</v>
      </c>
      <c r="E65" s="38" t="n">
        <v>0.35</v>
      </c>
      <c r="F65" s="25" t="str">
        <f aca="false">IF(D65&lt;=E65,"OK","ALERT")</f>
        <v>OK</v>
      </c>
      <c r="G65" s="12" t="s">
        <v>345</v>
      </c>
      <c r="H65" s="12" t="s">
        <v>346</v>
      </c>
    </row>
    <row r="66" customFormat="false" ht="23.85" hidden="false" customHeight="false" outlineLevel="0" collapsed="false">
      <c r="A66" s="12" t="s">
        <v>347</v>
      </c>
      <c r="B66" s="39" t="n">
        <v>0.047</v>
      </c>
      <c r="C66" s="39" t="n">
        <v>0.05</v>
      </c>
      <c r="D66" s="33" t="n">
        <f aca="false">B66-C66</f>
        <v>-0.003</v>
      </c>
      <c r="E66" s="39" t="n">
        <v>0</v>
      </c>
      <c r="F66" s="25" t="str">
        <f aca="false">IF(D66&lt;=E66,"OK","ALERT")</f>
        <v>OK</v>
      </c>
      <c r="G66" s="12" t="s">
        <v>348</v>
      </c>
      <c r="H66" s="12" t="s">
        <v>349</v>
      </c>
    </row>
    <row r="67" customFormat="false" ht="15" hidden="false" customHeight="false" outlineLevel="0" collapsed="false">
      <c r="A67" s="12" t="s">
        <v>350</v>
      </c>
      <c r="B67" s="35" t="n">
        <f aca="false">C38</f>
        <v>0.85</v>
      </c>
      <c r="C67" s="35" t="n">
        <f aca="false">Assumptions!$D$45</f>
        <v>0.7</v>
      </c>
      <c r="D67" s="16" t="n">
        <f aca="false">B67</f>
        <v>0.85</v>
      </c>
      <c r="E67" s="35" t="n">
        <f aca="false">Assumptions!$D$45</f>
        <v>0.7</v>
      </c>
      <c r="F67" s="25" t="str">
        <f aca="false">IF(D67&gt;=E67,"OK","ALERT")</f>
        <v>OK</v>
      </c>
      <c r="G67" s="12" t="s">
        <v>351</v>
      </c>
      <c r="H67" s="12" t="s">
        <v>352</v>
      </c>
    </row>
    <row r="68" customFormat="false" ht="15" hidden="false" customHeight="false" outlineLevel="0" collapsed="false">
      <c r="A68" s="25" t="s">
        <v>353</v>
      </c>
      <c r="F68" s="43" t="n">
        <f aca="false">COUNTIF(F57:F67,"ALERT")</f>
        <v>1</v>
      </c>
    </row>
    <row r="69" customFormat="false" ht="15" hidden="false" customHeight="false" outlineLevel="0" collapsed="false">
      <c r="A69" s="9" t="s">
        <v>354</v>
      </c>
    </row>
  </sheetData>
  <mergeCells count="2">
    <mergeCell ref="C21:E21"/>
    <mergeCell ref="C43:E43"/>
  </mergeCells>
  <conditionalFormatting sqref="F57:F67">
    <cfRule type="expression" priority="2" aboveAverage="0" equalAverage="0" bottom="0" percent="0" rank="0" text="" dxfId="2">
      <formula>F57="ALERT"</formula>
    </cfRule>
    <cfRule type="expression" priority="3" aboveAverage="0" equalAverage="0" bottom="0" percent="0" rank="0" text="" dxfId="3">
      <formula>F57="OK"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2026-10-13T02:04:54Z</dcterms:created>
  <dc:creator>openpyxl</dc:creator>
  <dc:description/>
  <dc:language>en-US</dc:language>
  <cp:lastModifiedBy/>
  <dcterms:modified xsi:type="dcterms:W3CDTF">2026-10-13T02:04:55Z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